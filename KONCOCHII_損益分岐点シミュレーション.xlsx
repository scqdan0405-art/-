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と出典" sheetId="1" state="visible" r:id="rId3"/>
    <sheet name="損益分岐" sheetId="2" state="visible" r:id="rId4"/>
    <sheet name="シナリオ表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<sst xmlns="http://schemas.openxmlformats.org/spreadsheetml/2006/main" count="69" uniqueCount="69">
  <si>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r>
      <rPr>
        <b val="true"/>
        <sz val="14"/>
        <color rgb="FF1F3864"/>
        <rFont val="Arial"/>
        <family val="0"/>
        <charset val="1"/>
      </rPr>
      <t xml:space="preserve">KONCOCHII </t>
    </r>
    <r>
      <rPr>
        <b val="true"/>
        <sz val="14"/>
        <color rgb="FF1F3864"/>
        <rFont val="Noto Sans CJK SC"/>
        <family val="2"/>
      </rPr>
      <t xml:space="preserve">損益分岐点シミュレーション — 前提と出典</t>
    </r>
  </si>
  <si>
    <t xml:space="preserve">【使い方】</t>
  </si>
  <si>
    <t xml:space="preserve">・「損益分岐」タブの黄色セル（前提）を書き換えると、損益と分岐点、シナリオ表がすべて再計算されます。</t>
  </si>
  <si>
    <r>
      <rPr>
        <sz val="11"/>
        <color rgb="FF232A3A"/>
        <rFont val="Noto Sans CJK SC"/>
        <family val="2"/>
      </rPr>
      <t xml:space="preserve">・まず現実的な平均客単価・固定費・</t>
    </r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比率を入れて、月次損益と『黒字化に必要な店舗数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件数』を見ます。</t>
    </r>
  </si>
  <si>
    <t xml:space="preserve">【前提の根拠】</t>
  </si>
  <si>
    <r>
      <rPr>
        <sz val="11"/>
        <color rgb="FF232A3A"/>
        <rFont val="Noto Sans CJK SC"/>
        <family val="2"/>
      </rPr>
      <t xml:space="preserve">・原価構造（店舗</t>
    </r>
    <r>
      <rPr>
        <sz val="11"/>
        <color rgb="FF232A3A"/>
        <rFont val="Arial"/>
        <family val="0"/>
        <charset val="1"/>
      </rPr>
      <t xml:space="preserve">40%/</t>
    </r>
    <r>
      <rPr>
        <sz val="11"/>
        <color rgb="FF232A3A"/>
        <rFont val="Noto Sans CJK SC"/>
        <family val="2"/>
      </rPr>
      <t xml:space="preserve">決済</t>
    </r>
    <r>
      <rPr>
        <sz val="11"/>
        <color rgb="FF232A3A"/>
        <rFont val="Arial"/>
        <family val="0"/>
        <charset val="1"/>
      </rPr>
      <t xml:space="preserve">3%/</t>
    </r>
    <r>
      <rPr>
        <sz val="11"/>
        <color rgb="FF232A3A"/>
        <rFont val="Noto Sans CJK SC"/>
        <family val="2"/>
      </rPr>
      <t xml:space="preserve">保険</t>
    </r>
    <r>
      <rPr>
        <sz val="11"/>
        <color rgb="FF232A3A"/>
        <rFont val="Arial"/>
        <family val="0"/>
        <charset val="1"/>
      </rPr>
      <t xml:space="preserve">6%/</t>
    </r>
    <r>
      <rPr>
        <sz val="11"/>
        <color rgb="FF232A3A"/>
        <rFont val="Noto Sans CJK SC"/>
        <family val="2"/>
      </rPr>
      <t xml:space="preserve">システム</t>
    </r>
    <r>
      <rPr>
        <sz val="11"/>
        <color rgb="FF232A3A"/>
        <rFont val="Arial"/>
        <family val="0"/>
        <charset val="1"/>
      </rPr>
      <t xml:space="preserve">5%</t>
    </r>
    <r>
      <rPr>
        <sz val="11"/>
        <color rgb="FF232A3A"/>
        <rFont val="Noto Sans CJK SC"/>
        <family val="2"/>
      </rPr>
      <t xml:space="preserve">）</t>
    </r>
    <r>
      <rPr>
        <sz val="11"/>
        <color rgb="FF232A3A"/>
        <rFont val="Arial"/>
        <family val="0"/>
        <charset val="1"/>
      </rPr>
      <t xml:space="preserve">: spec 05-admin </t>
    </r>
    <r>
      <rPr>
        <sz val="11"/>
        <color rgb="FF232A3A"/>
        <rFont val="Noto Sans CJK SC"/>
        <family val="2"/>
      </rPr>
      <t xml:space="preserve">の収益内訳、および事業分析レポート</t>
    </r>
    <r>
      <rPr>
        <sz val="11"/>
        <color rgb="FF232A3A"/>
        <rFont val="Arial"/>
        <family val="0"/>
        <charset val="1"/>
      </rPr>
      <t xml:space="preserve">(Progress)</t>
    </r>
    <r>
      <rPr>
        <sz val="11"/>
        <color rgb="FF232A3A"/>
        <rFont val="Noto Sans CJK SC"/>
        <family val="2"/>
      </rPr>
      <t xml:space="preserve">。</t>
    </r>
  </si>
  <si>
    <r>
      <rPr>
        <sz val="11"/>
        <color rgb="FF232A3A"/>
        <rFont val="Noto Sans CJK SC"/>
        <family val="2"/>
      </rPr>
      <t xml:space="preserve">・粗貢献率</t>
    </r>
    <r>
      <rPr>
        <sz val="11"/>
        <color rgb="FF232A3A"/>
        <rFont val="Arial"/>
        <family val="0"/>
        <charset val="1"/>
      </rPr>
      <t xml:space="preserve">46%</t>
    </r>
    <r>
      <rPr>
        <sz val="11"/>
        <color rgb="FF232A3A"/>
        <rFont val="Noto Sans CJK SC"/>
        <family val="2"/>
      </rPr>
      <t xml:space="preserve">・粗貢献額の例</t>
    </r>
    <r>
      <rPr>
        <sz val="11"/>
        <color rgb="FF232A3A"/>
        <rFont val="Arial"/>
        <family val="0"/>
        <charset val="1"/>
      </rPr>
      <t xml:space="preserve">: S3h=50,000₫ </t>
    </r>
    <r>
      <rPr>
        <sz val="11"/>
        <color rgb="FF232A3A"/>
        <rFont val="Noto Sans CJK SC"/>
        <family val="2"/>
      </rPr>
      <t xml:space="preserve">のとき手残り</t>
    </r>
    <r>
      <rPr>
        <sz val="11"/>
        <color rgb="FF232A3A"/>
        <rFont val="Arial"/>
        <family val="0"/>
        <charset val="1"/>
      </rPr>
      <t xml:space="preserve">23,000₫</t>
    </r>
    <r>
      <rPr>
        <sz val="11"/>
        <color rgb="FF232A3A"/>
        <rFont val="Noto Sans CJK SC"/>
        <family val="2"/>
      </rPr>
      <t xml:space="preserve">（</t>
    </r>
    <r>
      <rPr>
        <sz val="11"/>
        <color rgb="FF232A3A"/>
        <rFont val="Arial"/>
        <family val="0"/>
        <charset val="1"/>
      </rPr>
      <t xml:space="preserve">=46%</t>
    </r>
    <r>
      <rPr>
        <sz val="11"/>
        <color rgb="FF232A3A"/>
        <rFont val="Noto Sans CJK SC"/>
        <family val="2"/>
      </rPr>
      <t xml:space="preserve">）はレポートの試算と一致。</t>
    </r>
  </si>
  <si>
    <r>
      <rPr>
        <sz val="11"/>
        <color rgb="FF232A3A"/>
        <rFont val="Noto Sans CJK SC"/>
        <family val="2"/>
      </rPr>
      <t xml:space="preserve">・</t>
    </r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成果報酬 </t>
    </r>
    <r>
      <rPr>
        <sz val="11"/>
        <color rgb="FF232A3A"/>
        <rFont val="Arial"/>
        <family val="0"/>
        <charset val="1"/>
      </rPr>
      <t xml:space="preserve">20</t>
    </r>
    <r>
      <rPr>
        <sz val="11"/>
        <color rgb="FF232A3A"/>
        <rFont val="Noto Sans CJK SC"/>
        <family val="2"/>
      </rPr>
      <t xml:space="preserve">〜</t>
    </r>
    <r>
      <rPr>
        <sz val="11"/>
        <color rgb="FF232A3A"/>
        <rFont val="Arial"/>
        <family val="0"/>
        <charset val="1"/>
      </rPr>
      <t xml:space="preserve">30%: </t>
    </r>
    <r>
      <rPr>
        <sz val="11"/>
        <color rgb="FF232A3A"/>
        <rFont val="Noto Sans CJK SC"/>
        <family val="2"/>
      </rPr>
      <t xml:space="preserve">レポートの留意点（</t>
    </r>
    <r>
      <rPr>
        <sz val="11"/>
        <color rgb="FF232A3A"/>
        <rFont val="Arial"/>
        <family val="0"/>
        <charset val="1"/>
      </rPr>
      <t xml:space="preserve">Klook/KKday</t>
    </r>
    <r>
      <rPr>
        <sz val="11"/>
        <color rgb="FF232A3A"/>
        <rFont val="Noto Sans CJK SC"/>
        <family val="2"/>
      </rPr>
      <t xml:space="preserve">掲載は売上の</t>
    </r>
    <r>
      <rPr>
        <sz val="11"/>
        <color rgb="FF232A3A"/>
        <rFont val="Arial"/>
        <family val="0"/>
        <charset val="1"/>
      </rPr>
      <t xml:space="preserve">2</t>
    </r>
    <r>
      <rPr>
        <sz val="11"/>
        <color rgb="FF232A3A"/>
        <rFont val="Noto Sans CJK SC"/>
        <family val="2"/>
      </rPr>
      <t xml:space="preserve">〜</t>
    </r>
    <r>
      <rPr>
        <sz val="11"/>
        <color rgb="FF232A3A"/>
        <rFont val="Arial"/>
        <family val="0"/>
        <charset val="1"/>
      </rPr>
      <t xml:space="preserve">3</t>
    </r>
    <r>
      <rPr>
        <sz val="11"/>
        <color rgb="FF232A3A"/>
        <rFont val="Noto Sans CJK SC"/>
        <family val="2"/>
      </rPr>
      <t xml:space="preserve">割）。既定</t>
    </r>
    <r>
      <rPr>
        <sz val="11"/>
        <color rgb="FF232A3A"/>
        <rFont val="Arial"/>
        <family val="0"/>
        <charset val="1"/>
      </rPr>
      <t xml:space="preserve">25%</t>
    </r>
    <r>
      <rPr>
        <sz val="11"/>
        <color rgb="FF232A3A"/>
        <rFont val="Noto Sans CJK SC"/>
        <family val="2"/>
      </rPr>
      <t xml:space="preserve">。</t>
    </r>
  </si>
  <si>
    <r>
      <rPr>
        <sz val="11"/>
        <color rgb="FF232A3A"/>
        <rFont val="Noto Sans CJK SC"/>
        <family val="2"/>
      </rPr>
      <t xml:space="preserve">・</t>
    </r>
    <r>
      <rPr>
        <sz val="11"/>
        <color rgb="FF232A3A"/>
        <rFont val="Arial"/>
        <family val="0"/>
        <charset val="1"/>
      </rPr>
      <t xml:space="preserve">KPI 1</t>
    </r>
    <r>
      <rPr>
        <sz val="11"/>
        <color rgb="FF232A3A"/>
        <rFont val="Noto Sans CJK SC"/>
        <family val="2"/>
      </rPr>
      <t xml:space="preserve">店舗</t>
    </r>
    <r>
      <rPr>
        <sz val="11"/>
        <color rgb="FF232A3A"/>
        <rFont val="Arial"/>
        <family val="0"/>
        <charset val="1"/>
      </rPr>
      <t xml:space="preserve">5</t>
    </r>
    <r>
      <rPr>
        <sz val="11"/>
        <color rgb="FF232A3A"/>
        <rFont val="Noto Sans CJK SC"/>
        <family val="2"/>
      </rPr>
      <t xml:space="preserve">〜</t>
    </r>
    <r>
      <rPr>
        <sz val="11"/>
        <color rgb="FF232A3A"/>
        <rFont val="Arial"/>
        <family val="0"/>
        <charset val="1"/>
      </rPr>
      <t xml:space="preserve">10</t>
    </r>
    <r>
      <rPr>
        <sz val="11"/>
        <color rgb="FF232A3A"/>
        <rFont val="Noto Sans CJK SC"/>
        <family val="2"/>
      </rPr>
      <t xml:space="preserve">件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</t>
    </r>
    <r>
      <rPr>
        <sz val="11"/>
        <color rgb="FF232A3A"/>
        <rFont val="Arial"/>
        <family val="0"/>
        <charset val="1"/>
      </rPr>
      <t xml:space="preserve">: spec 05</t>
    </r>
    <r>
      <rPr>
        <sz val="11"/>
        <color rgb="FF232A3A"/>
        <rFont val="Noto Sans CJK SC"/>
        <family val="2"/>
      </rPr>
      <t xml:space="preserve">・事業戦略資料。</t>
    </r>
  </si>
  <si>
    <r>
      <rPr>
        <sz val="11"/>
        <color rgb="FF232A3A"/>
        <rFont val="Noto Sans CJK SC"/>
        <family val="2"/>
      </rPr>
      <t xml:space="preserve">・為替 約</t>
    </r>
    <r>
      <rPr>
        <sz val="11"/>
        <color rgb="FF232A3A"/>
        <rFont val="Arial"/>
        <family val="0"/>
        <charset val="1"/>
      </rPr>
      <t xml:space="preserve">26,300 VND/USD (2026-07): </t>
    </r>
    <r>
      <rPr>
        <sz val="11"/>
        <color rgb="FF232A3A"/>
        <rFont val="Noto Sans CJK SC"/>
        <family val="2"/>
      </rPr>
      <t xml:space="preserve">参考値。</t>
    </r>
    <r>
      <rPr>
        <sz val="11"/>
        <color rgb="FF232A3A"/>
        <rFont val="Arial"/>
        <family val="0"/>
        <charset val="1"/>
      </rPr>
      <t xml:space="preserve">USD</t>
    </r>
    <r>
      <rPr>
        <sz val="11"/>
        <color rgb="FF232A3A"/>
        <rFont val="Noto Sans CJK SC"/>
        <family val="2"/>
      </rPr>
      <t xml:space="preserve">換算は目安。</t>
    </r>
  </si>
  <si>
    <t xml:space="preserve">【固定費は仮値（要差し替え）】</t>
  </si>
  <si>
    <r>
      <rPr>
        <sz val="11"/>
        <color rgb="FF232A3A"/>
        <rFont val="Noto Sans CJK SC"/>
        <family val="2"/>
      </rPr>
      <t xml:space="preserve">・システム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インフラ・</t>
    </r>
    <r>
      <rPr>
        <sz val="11"/>
        <color rgb="FF232A3A"/>
        <rFont val="Arial"/>
        <family val="0"/>
        <charset val="1"/>
      </rPr>
      <t xml:space="preserve">CS</t>
    </r>
    <r>
      <rPr>
        <sz val="11"/>
        <color rgb="FF232A3A"/>
        <rFont val="Noto Sans CJK SC"/>
        <family val="2"/>
      </rPr>
      <t xml:space="preserve">人件費・店舗管理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営業・会計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保険基礎の月額は仮置き。実額が出たら黄色セルを更新。</t>
    </r>
  </si>
  <si>
    <r>
      <rPr>
        <sz val="11"/>
        <color rgb="FFC00000"/>
        <rFont val="Noto Sans CJK SC"/>
        <family val="2"/>
      </rPr>
      <t xml:space="preserve">・レポート指摘</t>
    </r>
    <r>
      <rPr>
        <sz val="11"/>
        <color rgb="FFC00000"/>
        <rFont val="Arial"/>
        <family val="0"/>
        <charset val="1"/>
      </rPr>
      <t xml:space="preserve">: </t>
    </r>
    <r>
      <rPr>
        <sz val="11"/>
        <color rgb="FFC00000"/>
        <rFont val="Noto Sans CJK SC"/>
        <family val="2"/>
      </rPr>
      <t xml:space="preserve">労働集約はアプリの外側（</t>
    </r>
    <r>
      <rPr>
        <sz val="11"/>
        <color rgb="FFC00000"/>
        <rFont val="Arial"/>
        <family val="0"/>
        <charset val="1"/>
      </rPr>
      <t xml:space="preserve">CS</t>
    </r>
    <r>
      <rPr>
        <sz val="11"/>
        <color rgb="FFC00000"/>
        <rFont val="Noto Sans CJK SC"/>
        <family val="2"/>
      </rPr>
      <t xml:space="preserve">即応・店舗巡回・精算</t>
    </r>
    <r>
      <rPr>
        <sz val="11"/>
        <color rgb="FFC00000"/>
        <rFont val="Arial"/>
        <family val="0"/>
        <charset val="1"/>
      </rPr>
      <t xml:space="preserve">/</t>
    </r>
    <r>
      <rPr>
        <sz val="11"/>
        <color rgb="FFC00000"/>
        <rFont val="Noto Sans CJK SC"/>
        <family val="2"/>
      </rPr>
      <t xml:space="preserve">保険請求・多言語）。</t>
    </r>
    <r>
      <rPr>
        <sz val="11"/>
        <color rgb="FFC00000"/>
        <rFont val="Arial"/>
        <family val="0"/>
        <charset val="1"/>
      </rPr>
      <t xml:space="preserve">PoC</t>
    </r>
    <r>
      <rPr>
        <sz val="11"/>
        <color rgb="FFC00000"/>
        <rFont val="Noto Sans CJK SC"/>
        <family val="2"/>
      </rPr>
      <t xml:space="preserve">拡大期は専任化コストが効く。</t>
    </r>
  </si>
  <si>
    <t xml:space="preserve">【解釈の注意】</t>
  </si>
  <si>
    <r>
      <rPr>
        <sz val="11"/>
        <color rgb="FF232A3A"/>
        <rFont val="Noto Sans CJK SC"/>
        <family val="2"/>
      </rPr>
      <t xml:space="preserve">・純貢献額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 が正でないと、何店舗増やしても黒字化しません（まず単価</t>
    </r>
    <r>
      <rPr>
        <sz val="11"/>
        <color rgb="FF232A3A"/>
        <rFont val="Arial"/>
        <family val="0"/>
        <charset val="1"/>
      </rPr>
      <t xml:space="preserve">×</t>
    </r>
    <r>
      <rPr>
        <sz val="11"/>
        <color rgb="FF232A3A"/>
        <rFont val="Noto Sans CJK SC"/>
        <family val="2"/>
      </rPr>
      <t xml:space="preserve">原価構造を健全化）。</t>
    </r>
  </si>
  <si>
    <r>
      <rPr>
        <sz val="11"/>
        <color rgb="FF232A3A"/>
        <rFont val="Noto Sans CJK SC"/>
        <family val="2"/>
      </rPr>
      <t xml:space="preserve">・</t>
    </r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比率を上げると集客は増えるが純貢献が下がる。直販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紹介</t>
    </r>
    <r>
      <rPr>
        <sz val="11"/>
        <color rgb="FF232A3A"/>
        <rFont val="Arial"/>
        <family val="0"/>
        <charset val="1"/>
      </rPr>
      <t xml:space="preserve">(B2B2C)</t>
    </r>
    <r>
      <rPr>
        <sz val="11"/>
        <color rgb="FF232A3A"/>
        <rFont val="Noto Sans CJK SC"/>
        <family val="2"/>
      </rPr>
      <t xml:space="preserve">との比率設計が損益を左右します。</t>
    </r>
  </si>
  <si>
    <t xml:space="preserve">・この表は月次の運転損益。初期開発費・保証金等の一時費用は含みません。</t>
  </si>
  <si>
    <r>
      <rPr>
        <sz val="10"/>
        <color rgb="FF697089"/>
        <rFont val="Noto Sans CJK SC"/>
        <family val="2"/>
      </rPr>
      <t xml:space="preserve">作成 </t>
    </r>
    <r>
      <rPr>
        <sz val="10"/>
        <color rgb="FF697089"/>
        <rFont val="Arial"/>
        <family val="0"/>
        <charset val="1"/>
      </rPr>
      <t xml:space="preserve">2026-07-28 / </t>
    </r>
    <r>
      <rPr>
        <sz val="10"/>
        <color rgb="FF697089"/>
        <rFont val="Noto Sans CJK SC"/>
        <family val="2"/>
      </rPr>
      <t xml:space="preserve">出典</t>
    </r>
    <r>
      <rPr>
        <sz val="10"/>
        <color rgb="FF697089"/>
        <rFont val="Arial"/>
        <family val="0"/>
        <charset val="1"/>
      </rPr>
      <t xml:space="preserve">: docs/</t>
    </r>
    <r>
      <rPr>
        <sz val="10"/>
        <color rgb="FF697089"/>
        <rFont val="Noto Sans CJK SC"/>
        <family val="2"/>
      </rPr>
      <t xml:space="preserve">事業分析レポート・事業戦略</t>
    </r>
    <r>
      <rPr>
        <sz val="10"/>
        <color rgb="FF697089"/>
        <rFont val="Arial"/>
        <family val="0"/>
        <charset val="1"/>
      </rPr>
      <t xml:space="preserve">_</t>
    </r>
    <r>
      <rPr>
        <sz val="10"/>
        <color rgb="FF697089"/>
        <rFont val="Noto Sans CJK SC"/>
        <family val="2"/>
      </rPr>
      <t xml:space="preserve">勝ち筋・</t>
    </r>
    <r>
      <rPr>
        <sz val="10"/>
        <color rgb="FF697089"/>
        <rFont val="Arial"/>
        <family val="0"/>
        <charset val="1"/>
      </rPr>
      <t xml:space="preserve">spec/specs/05</t>
    </r>
    <r>
      <rPr>
        <sz val="10"/>
        <color rgb="FF697089"/>
        <rFont val="Noto Sans CJK SC"/>
        <family val="2"/>
      </rPr>
      <t xml:space="preserve">。数値は前提であり実測で更新する。</t>
    </r>
  </si>
  <si>
    <r>
      <rPr>
        <b val="true"/>
        <sz val="15"/>
        <color rgb="FF1F3864"/>
        <rFont val="Arial"/>
        <family val="0"/>
        <charset val="1"/>
      </rPr>
      <t xml:space="preserve">KONCOCHII </t>
    </r>
    <r>
      <rPr>
        <b val="true"/>
        <sz val="15"/>
        <color rgb="FF1F3864"/>
        <rFont val="Noto Sans CJK SC"/>
        <family val="2"/>
      </rPr>
      <t xml:space="preserve">損益分岐点シミュレーション</t>
    </r>
  </si>
  <si>
    <r>
      <rPr>
        <sz val="10"/>
        <color rgb="FF697089"/>
        <rFont val="Noto Sans CJK SC"/>
        <family val="2"/>
      </rPr>
      <t xml:space="preserve">黄色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入力（前提）。黒字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自動計算。通貨は</t>
    </r>
    <r>
      <rPr>
        <sz val="10"/>
        <color rgb="FF697089"/>
        <rFont val="Arial"/>
        <family val="0"/>
        <charset val="1"/>
      </rPr>
      <t xml:space="preserve">VND</t>
    </r>
    <r>
      <rPr>
        <sz val="10"/>
        <color rgb="FF697089"/>
        <rFont val="Noto Sans CJK SC"/>
        <family val="2"/>
      </rPr>
      <t xml:space="preserve">（₫）。前提を変えると全て再計算。</t>
    </r>
  </si>
  <si>
    <r>
      <rPr>
        <sz val="11"/>
        <color rgb="FF232A3A"/>
        <rFont val="Noto Sans CJK SC"/>
        <family val="2"/>
      </rPr>
      <t xml:space="preserve">為替 </t>
    </r>
    <r>
      <rPr>
        <sz val="11"/>
        <color rgb="FF232A3A"/>
        <rFont val="Arial"/>
        <family val="0"/>
        <charset val="1"/>
      </rPr>
      <t xml:space="preserve">VND/USD</t>
    </r>
    <r>
      <rPr>
        <sz val="11"/>
        <color rgb="FF232A3A"/>
        <rFont val="Noto Sans CJK SC"/>
        <family val="2"/>
      </rPr>
      <t xml:space="preserve">（前提）</t>
    </r>
  </si>
  <si>
    <r>
      <rPr>
        <sz val="10"/>
        <color rgb="FF697089"/>
        <rFont val="Arial"/>
        <family val="0"/>
        <charset val="1"/>
      </rPr>
      <t xml:space="preserve">2026-07 </t>
    </r>
    <r>
      <rPr>
        <sz val="10"/>
        <color rgb="FF697089"/>
        <rFont val="Noto Sans CJK SC"/>
        <family val="2"/>
      </rPr>
      <t xml:space="preserve">約</t>
    </r>
    <r>
      <rPr>
        <sz val="10"/>
        <color rgb="FF697089"/>
        <rFont val="Arial"/>
        <family val="0"/>
        <charset val="1"/>
      </rPr>
      <t xml:space="preserve">26,300</t>
    </r>
    <r>
      <rPr>
        <sz val="10"/>
        <color rgb="FF697089"/>
        <rFont val="Noto Sans CJK SC"/>
        <family val="2"/>
      </rPr>
      <t xml:space="preserve">（出典</t>
    </r>
    <r>
      <rPr>
        <sz val="10"/>
        <color rgb="FF697089"/>
        <rFont val="Arial"/>
        <family val="0"/>
        <charset val="1"/>
      </rPr>
      <t xml:space="preserve">: pluang/longforecast</t>
    </r>
    <r>
      <rPr>
        <sz val="10"/>
        <color rgb="FF697089"/>
        <rFont val="Noto Sans CJK SC"/>
        <family val="2"/>
      </rPr>
      <t xml:space="preserve">）</t>
    </r>
  </si>
  <si>
    <r>
      <rPr>
        <b val="true"/>
        <sz val="12"/>
        <color rgb="FF1F3864"/>
        <rFont val="Noto Sans CJK SC"/>
        <family val="2"/>
      </rPr>
      <t xml:space="preserve">① 単価と原価構造（</t>
    </r>
    <r>
      <rPr>
        <b val="true"/>
        <sz val="12"/>
        <color rgb="FF1F3864"/>
        <rFont val="Arial"/>
        <family val="0"/>
        <charset val="1"/>
      </rPr>
      <t xml:space="preserve">1</t>
    </r>
    <r>
      <rPr>
        <b val="true"/>
        <sz val="12"/>
        <color rgb="FF1F3864"/>
        <rFont val="Noto Sans CJK SC"/>
        <family val="2"/>
      </rPr>
      <t xml:space="preserve">予約あたり）</t>
    </r>
  </si>
  <si>
    <r>
      <rPr>
        <sz val="11"/>
        <color rgb="FF232A3A"/>
        <rFont val="Noto Sans CJK SC"/>
        <family val="2"/>
      </rPr>
      <t xml:space="preserve">平均客単価 </t>
    </r>
    <r>
      <rPr>
        <sz val="11"/>
        <color rgb="FF232A3A"/>
        <rFont val="Arial"/>
        <family val="0"/>
        <charset val="1"/>
      </rPr>
      <t xml:space="preserve">ARPB</t>
    </r>
    <r>
      <rPr>
        <sz val="11"/>
        <color rgb="FF232A3A"/>
        <rFont val="Noto Sans CJK SC"/>
        <family val="2"/>
      </rPr>
      <t xml:space="preserve">（</t>
    </r>
    <r>
      <rPr>
        <sz val="11"/>
        <color rgb="FF232A3A"/>
        <rFont val="Arial"/>
        <family val="0"/>
        <charset val="1"/>
      </rPr>
      <t xml:space="preserve">VND/</t>
    </r>
    <r>
      <rPr>
        <sz val="11"/>
        <color rgb="FF232A3A"/>
        <rFont val="Noto Sans CJK SC"/>
        <family val="2"/>
      </rPr>
      <t xml:space="preserve">予約）</t>
    </r>
  </si>
  <si>
    <r>
      <rPr>
        <sz val="10"/>
        <color rgb="FF697089"/>
        <rFont val="Noto Sans CJK SC"/>
        <family val="2"/>
      </rPr>
      <t xml:space="preserve">資料例</t>
    </r>
    <r>
      <rPr>
        <sz val="10"/>
        <color rgb="FF697089"/>
        <rFont val="Arial"/>
        <family val="0"/>
        <charset val="1"/>
      </rPr>
      <t xml:space="preserve">S3h=50,000</t>
    </r>
    <r>
      <rPr>
        <sz val="10"/>
        <color rgb="FF697089"/>
        <rFont val="Noto Sans CJK SC"/>
        <family val="2"/>
      </rPr>
      <t xml:space="preserve">。サイズ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プラン構成の平均で入力</t>
    </r>
  </si>
  <si>
    <t xml:space="preserve">店舗委託料</t>
  </si>
  <si>
    <r>
      <rPr>
        <sz val="10"/>
        <color rgb="FF697089"/>
        <rFont val="Noto Sans CJK SC"/>
        <family val="2"/>
      </rPr>
      <t xml:space="preserve">資料・</t>
    </r>
    <r>
      <rPr>
        <sz val="10"/>
        <color rgb="FF697089"/>
        <rFont val="Arial"/>
        <family val="0"/>
        <charset val="1"/>
      </rPr>
      <t xml:space="preserve">05-admin</t>
    </r>
  </si>
  <si>
    <t xml:space="preserve">決済手数料</t>
  </si>
  <si>
    <r>
      <rPr>
        <sz val="10"/>
        <color rgb="FF697089"/>
        <rFont val="Arial"/>
        <family val="0"/>
        <charset val="1"/>
      </rPr>
      <t xml:space="preserve">2C2P</t>
    </r>
    <r>
      <rPr>
        <sz val="10"/>
        <color rgb="FF697089"/>
        <rFont val="Noto Sans CJK SC"/>
        <family val="2"/>
      </rPr>
      <t xml:space="preserve">等</t>
    </r>
  </si>
  <si>
    <t xml:space="preserve">保険料</t>
  </si>
  <si>
    <t xml:space="preserve">基本補償原資</t>
  </si>
  <si>
    <t xml:space="preserve">システム配賦</t>
  </si>
  <si>
    <r>
      <rPr>
        <sz val="10"/>
        <color rgb="FF697089"/>
        <rFont val="Arial"/>
        <family val="0"/>
        <charset val="1"/>
      </rPr>
      <t xml:space="preserve">05-admin</t>
    </r>
    <r>
      <rPr>
        <sz val="10"/>
        <color rgb="FF697089"/>
        <rFont val="Noto Sans CJK SC"/>
        <family val="2"/>
      </rPr>
      <t xml:space="preserve">の収益内訳</t>
    </r>
  </si>
  <si>
    <t xml:space="preserve">控除合計率</t>
  </si>
  <si>
    <r>
      <rPr>
        <sz val="11"/>
        <color rgb="FF232A3A"/>
        <rFont val="Noto Sans CJK SC"/>
        <family val="2"/>
      </rPr>
      <t xml:space="preserve">粗貢献率（</t>
    </r>
    <r>
      <rPr>
        <sz val="11"/>
        <color rgb="FF232A3A"/>
        <rFont val="Arial"/>
        <family val="0"/>
        <charset val="1"/>
      </rPr>
      <t xml:space="preserve">1−</t>
    </r>
    <r>
      <rPr>
        <sz val="11"/>
        <color rgb="FF232A3A"/>
        <rFont val="Noto Sans CJK SC"/>
        <family val="2"/>
      </rPr>
      <t xml:space="preserve">控除）</t>
    </r>
  </si>
  <si>
    <r>
      <rPr>
        <sz val="11"/>
        <color rgb="FF232A3A"/>
        <rFont val="Noto Sans CJK SC"/>
        <family val="2"/>
      </rPr>
      <t xml:space="preserve">粗貢献額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</t>
    </r>
  </si>
  <si>
    <r>
      <rPr>
        <b val="true"/>
        <sz val="12"/>
        <color rgb="FF1F3864"/>
        <rFont val="Arial"/>
        <family val="0"/>
        <charset val="1"/>
      </rPr>
      <t xml:space="preserve">② OTA</t>
    </r>
    <r>
      <rPr>
        <b val="true"/>
        <sz val="12"/>
        <color rgb="FF1F3864"/>
        <rFont val="Noto Sans CJK SC"/>
        <family val="2"/>
      </rPr>
      <t xml:space="preserve">集客コスト（該当予約のみ）</t>
    </r>
  </si>
  <si>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経由の予約比率</t>
    </r>
  </si>
  <si>
    <r>
      <rPr>
        <sz val="10"/>
        <color rgb="FF697089"/>
        <rFont val="Arial"/>
        <family val="0"/>
        <charset val="1"/>
      </rPr>
      <t xml:space="preserve">Klook/KKday</t>
    </r>
    <r>
      <rPr>
        <sz val="10"/>
        <color rgb="FF697089"/>
        <rFont val="Noto Sans CJK SC"/>
        <family val="2"/>
      </rPr>
      <t xml:space="preserve">経由の割合</t>
    </r>
  </si>
  <si>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成果報酬率（該当売上）</t>
    </r>
  </si>
  <si>
    <r>
      <rPr>
        <sz val="10"/>
        <color rgb="FF697089"/>
        <rFont val="Noto Sans CJK SC"/>
        <family val="2"/>
      </rPr>
      <t xml:space="preserve">一般に</t>
    </r>
    <r>
      <rPr>
        <sz val="10"/>
        <color rgb="FF697089"/>
        <rFont val="Arial"/>
        <family val="0"/>
        <charset val="1"/>
      </rPr>
      <t xml:space="preserve">20</t>
    </r>
    <r>
      <rPr>
        <sz val="10"/>
        <color rgb="FF697089"/>
        <rFont val="Noto Sans CJK SC"/>
        <family val="2"/>
      </rPr>
      <t xml:space="preserve">〜</t>
    </r>
    <r>
      <rPr>
        <sz val="10"/>
        <color rgb="FF697089"/>
        <rFont val="Arial"/>
        <family val="0"/>
        <charset val="1"/>
      </rPr>
      <t xml:space="preserve">30%</t>
    </r>
  </si>
  <si>
    <r>
      <rPr>
        <sz val="11"/>
        <color rgb="FF232A3A"/>
        <rFont val="Noto Sans CJK SC"/>
        <family val="2"/>
      </rPr>
      <t xml:space="preserve">平均</t>
    </r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コスト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</t>
    </r>
  </si>
  <si>
    <r>
      <rPr>
        <sz val="11"/>
        <color rgb="FF232A3A"/>
        <rFont val="Noto Sans CJK SC"/>
        <family val="2"/>
      </rPr>
      <t xml:space="preserve">純貢献額 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予約（粗貢献−</t>
    </r>
    <r>
      <rPr>
        <sz val="11"/>
        <color rgb="FF232A3A"/>
        <rFont val="Arial"/>
        <family val="0"/>
        <charset val="1"/>
      </rPr>
      <t xml:space="preserve">OTA</t>
    </r>
    <r>
      <rPr>
        <sz val="11"/>
        <color rgb="FF232A3A"/>
        <rFont val="Noto Sans CJK SC"/>
        <family val="2"/>
      </rPr>
      <t xml:space="preserve">）</t>
    </r>
  </si>
  <si>
    <r>
      <rPr>
        <b val="true"/>
        <sz val="12"/>
        <color rgb="FF1F3864"/>
        <rFont val="Noto Sans CJK SC"/>
        <family val="2"/>
      </rPr>
      <t xml:space="preserve">③ 月次固定費（</t>
    </r>
    <r>
      <rPr>
        <b val="true"/>
        <sz val="12"/>
        <color rgb="FF1F3864"/>
        <rFont val="Arial"/>
        <family val="0"/>
        <charset val="1"/>
      </rPr>
      <t xml:space="preserve">VND/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</si>
  <si>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sz val="11"/>
        <color rgb="FF232A3A"/>
        <rFont val="Noto Sans CJK SC"/>
        <family val="2"/>
      </rPr>
      <t xml:space="preserve">システム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インフラ</t>
    </r>
    <r>
      <rPr>
        <sz val="11"/>
        <color rgb="FF232A3A"/>
        <rFont val="Arial"/>
        <family val="0"/>
        <charset val="1"/>
      </rPr>
      <t xml:space="preserve">(Supabase/Vercel/</t>
    </r>
    <r>
      <rPr>
        <sz val="11"/>
        <color rgb="FF232A3A"/>
        <rFont val="Noto Sans CJK SC"/>
        <family val="2"/>
      </rPr>
      <t xml:space="preserve">ドメイン</t>
    </r>
    <r>
      <rPr>
        <sz val="11"/>
        <color rgb="FF232A3A"/>
        <rFont val="Arial"/>
        <family val="0"/>
        <charset val="1"/>
      </rPr>
      <t xml:space="preserve">/2C2P</t>
    </r>
    <r>
      <rPr>
        <sz val="11"/>
        <color rgb="FF232A3A"/>
        <rFont val="Noto Sans CJK SC"/>
        <family val="2"/>
      </rPr>
      <t xml:space="preserve">固定</t>
    </r>
    <r>
      <rPr>
        <sz val="11"/>
        <color rgb="FF232A3A"/>
        <rFont val="Arial"/>
        <family val="0"/>
        <charset val="1"/>
      </rPr>
      <t xml:space="preserve">)</t>
    </r>
  </si>
  <si>
    <r>
      <rPr>
        <sz val="11"/>
        <color rgb="FF232A3A"/>
        <rFont val="Noto Sans CJK SC"/>
        <family val="2"/>
      </rPr>
      <t xml:space="preserve">多言語</t>
    </r>
    <r>
      <rPr>
        <sz val="11"/>
        <color rgb="FF232A3A"/>
        <rFont val="Arial"/>
        <family val="0"/>
        <charset val="1"/>
      </rPr>
      <t xml:space="preserve">CS</t>
    </r>
    <r>
      <rPr>
        <sz val="11"/>
        <color rgb="FF232A3A"/>
        <rFont val="Noto Sans CJK SC"/>
        <family val="2"/>
      </rPr>
      <t xml:space="preserve">人件費</t>
    </r>
  </si>
  <si>
    <t xml:space="preserve">店舗管理・営業担当</t>
  </si>
  <si>
    <t xml:space="preserve">会計・保険基礎・その他</t>
  </si>
  <si>
    <r>
      <rPr>
        <b val="true"/>
        <sz val="11"/>
        <color rgb="FF232A3A"/>
        <rFont val="Noto Sans CJK SC"/>
        <family val="2"/>
      </rPr>
      <t xml:space="preserve">固定費合計 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月</t>
    </r>
  </si>
  <si>
    <t xml:space="preserve">④ 数量と損益</t>
  </si>
  <si>
    <t xml:space="preserve">店舗数</t>
  </si>
  <si>
    <r>
      <rPr>
        <sz val="11"/>
        <color rgb="FF232A3A"/>
        <rFont val="Arial"/>
        <family val="0"/>
        <charset val="1"/>
      </rPr>
      <t xml:space="preserve">1</t>
    </r>
    <r>
      <rPr>
        <sz val="11"/>
        <color rgb="FF232A3A"/>
        <rFont val="Noto Sans CJK SC"/>
        <family val="2"/>
      </rPr>
      <t xml:space="preserve">店舗あたり予約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</t>
    </r>
  </si>
  <si>
    <r>
      <rPr>
        <sz val="10"/>
        <color rgb="FF697089"/>
        <rFont val="Arial"/>
        <family val="0"/>
        <charset val="1"/>
      </rPr>
      <t xml:space="preserve">KPI: 5</t>
    </r>
    <r>
      <rPr>
        <sz val="10"/>
        <color rgb="FF697089"/>
        <rFont val="Noto Sans CJK SC"/>
        <family val="2"/>
      </rPr>
      <t xml:space="preserve">〜</t>
    </r>
    <r>
      <rPr>
        <sz val="10"/>
        <color rgb="FF697089"/>
        <rFont val="Arial"/>
        <family val="0"/>
        <charset val="1"/>
      </rPr>
      <t xml:space="preserve">10</t>
    </r>
    <r>
      <rPr>
        <sz val="10"/>
        <color rgb="FF697089"/>
        <rFont val="Noto Sans CJK SC"/>
        <family val="2"/>
      </rPr>
      <t xml:space="preserve">件</t>
    </r>
  </si>
  <si>
    <r>
      <rPr>
        <sz val="11"/>
        <color rgb="FF232A3A"/>
        <rFont val="Noto Sans CJK SC"/>
        <family val="2"/>
      </rPr>
      <t xml:space="preserve">営業日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月</t>
    </r>
  </si>
  <si>
    <t xml:space="preserve">月間予約数</t>
  </si>
  <si>
    <t xml:space="preserve">月間純貢献</t>
  </si>
  <si>
    <t xml:space="preserve">月次損益（純貢献−固定費）</t>
  </si>
  <si>
    <r>
      <rPr>
        <sz val="11"/>
        <color rgb="FF232A3A"/>
        <rFont val="Noto Sans CJK SC"/>
        <family val="2"/>
      </rPr>
      <t xml:space="preserve">（参考）月次損益 </t>
    </r>
    <r>
      <rPr>
        <sz val="11"/>
        <color rgb="FF232A3A"/>
        <rFont val="Arial"/>
        <family val="0"/>
        <charset val="1"/>
      </rPr>
      <t xml:space="preserve">USD</t>
    </r>
  </si>
  <si>
    <t xml:space="preserve">⑤ 損益分岐（黒字化ライン）</t>
  </si>
  <si>
    <t xml:space="preserve">損益分岐 月間予約数</t>
  </si>
  <si>
    <r>
      <rPr>
        <sz val="11"/>
        <color rgb="FF232A3A"/>
        <rFont val="Noto Sans CJK SC"/>
        <family val="2"/>
      </rPr>
      <t xml:space="preserve">損益分岐 店舗数（現在の件数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日で）</t>
    </r>
  </si>
  <si>
    <r>
      <rPr>
        <sz val="11"/>
        <color rgb="FF232A3A"/>
        <rFont val="Noto Sans CJK SC"/>
        <family val="2"/>
      </rPr>
      <t xml:space="preserve">損益分岐 件数</t>
    </r>
    <r>
      <rPr>
        <sz val="11"/>
        <color rgb="FF232A3A"/>
        <rFont val="Arial"/>
        <family val="0"/>
        <charset val="1"/>
      </rPr>
      <t xml:space="preserve">/</t>
    </r>
    <r>
      <rPr>
        <sz val="11"/>
        <color rgb="FF232A3A"/>
        <rFont val="Noto Sans CJK SC"/>
        <family val="2"/>
      </rPr>
      <t xml:space="preserve">日（現在の店舗数で）</t>
    </r>
  </si>
  <si>
    <r>
      <rPr>
        <b val="true"/>
        <sz val="14"/>
        <color rgb="FF1F3864"/>
        <rFont val="Noto Sans CJK SC"/>
        <family val="2"/>
      </rPr>
      <t xml:space="preserve">月次損益 シナリオ表（</t>
    </r>
    <r>
      <rPr>
        <b val="true"/>
        <sz val="14"/>
        <color rgb="FF1F3864"/>
        <rFont val="Arial"/>
        <family val="0"/>
        <charset val="1"/>
      </rPr>
      <t xml:space="preserve">VND/</t>
    </r>
    <r>
      <rPr>
        <b val="true"/>
        <sz val="14"/>
        <color rgb="FF1F3864"/>
        <rFont val="Noto Sans CJK SC"/>
        <family val="2"/>
      </rPr>
      <t xml:space="preserve">月）</t>
    </r>
  </si>
  <si>
    <r>
      <rPr>
        <sz val="10"/>
        <color rgb="FF697089"/>
        <rFont val="Noto Sans CJK SC"/>
        <family val="2"/>
      </rPr>
      <t xml:space="preserve">行</t>
    </r>
    <r>
      <rPr>
        <sz val="10"/>
        <color rgb="FF697089"/>
        <rFont val="Arial"/>
        <family val="0"/>
        <charset val="1"/>
      </rPr>
      <t xml:space="preserve">=1</t>
    </r>
    <r>
      <rPr>
        <sz val="10"/>
        <color rgb="FF697089"/>
        <rFont val="Noto Sans CJK SC"/>
        <family val="2"/>
      </rPr>
      <t xml:space="preserve">店舗あたり予約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日、列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店舗数。前提（単価・原価・固定費）は「損益分岐」タブの値を使用。赤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赤字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緑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黒字。</t>
    </r>
  </si>
  <si>
    <r>
      <rPr>
        <b val="true"/>
        <sz val="11"/>
        <color rgb="FF232A3A"/>
        <rFont val="Noto Sans CJK SC"/>
        <family val="2"/>
      </rPr>
      <t xml:space="preserve">予約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日 ＼ 店舗数</t>
    </r>
  </si>
  <si>
    <r>
      <rPr>
        <b val="true"/>
        <sz val="12"/>
        <color rgb="FF1F3864"/>
        <rFont val="Noto Sans CJK SC"/>
        <family val="2"/>
      </rPr>
      <t xml:space="preserve">損益分岐に必要な店舗数（各 予約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Noto Sans CJK SC"/>
        <family val="2"/>
      </rPr>
      <t xml:space="preserve">日）</t>
    </r>
  </si>
  <si>
    <r>
      <rPr>
        <b val="true"/>
        <sz val="11"/>
        <color rgb="FF232A3A"/>
        <rFont val="Noto Sans CJK SC"/>
        <family val="2"/>
      </rPr>
      <t xml:space="preserve">予約</t>
    </r>
    <r>
      <rPr>
        <b val="true"/>
        <sz val="11"/>
        <color rgb="FF232A3A"/>
        <rFont val="Arial"/>
        <family val="0"/>
        <charset val="1"/>
      </rPr>
      <t xml:space="preserve">/</t>
    </r>
    <r>
      <rPr>
        <b val="true"/>
        <sz val="11"/>
        <color rgb="FF232A3A"/>
        <rFont val="Noto Sans CJK SC"/>
        <family val="2"/>
      </rPr>
      <t xml:space="preserve">日</t>
    </r>
  </si>
  <si>
    <t xml:space="preserve">必要店舗数</t>
  </si>
  <si>
    <t xml:space="preserve">月次予約数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</si>
</sst>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&quot; ₫&quot;"/>
    <numFmt numFmtId="167" formatCode="0.0%"/>
    <numFmt numFmtId="168" formatCode="\$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sz val="11"/>
      <color rgb="FF232A3A"/>
      <name val="Arial"/>
      <family val="0"/>
      <charset val="1"/>
    </font>
    <font>
      <b val="true"/>
      <sz val="12"/>
      <color rgb="FF1F3864"/>
      <name val="Noto Sans CJK SC"/>
      <family val="2"/>
    </font>
    <font>
      <sz val="11"/>
      <color rgb="FF232A3A"/>
      <name val="Noto Sans CJK SC"/>
      <family val="2"/>
    </font>
    <font>
      <sz val="11"/>
      <color rgb="FFC00000"/>
      <name val="Noto Sans CJK SC"/>
      <family val="2"/>
    </font>
    <font>
      <sz val="11"/>
      <color rgb="FFC00000"/>
      <name val="Arial"/>
      <family val="0"/>
      <charset val="1"/>
    </font>
    <font>
      <sz val="11"/>
      <color rgb="FF697089"/>
      <name val="Noto Sans CJK SC"/>
      <family val="2"/>
    </font>
    <font>
      <sz val="10"/>
      <color rgb="FF697089"/>
      <name val="Noto Sans CJK SC"/>
      <family val="2"/>
    </font>
    <font>
      <sz val="10"/>
      <color rgb="FF69708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232A3A"/>
      <name val="Arial"/>
      <family val="0"/>
      <charset val="1"/>
    </font>
    <font>
      <b val="true"/>
      <sz val="11"/>
      <color rgb="FF1A9E5C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232A3A"/>
      <name val="Noto Sans CJK SC"/>
      <family val="2"/>
    </font>
    <font>
      <sz val="11"/>
      <color rgb="FF69708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EEF2F9"/>
      </patternFill>
    </fill>
    <fill>
      <patternFill patternType="solid">
        <fgColor rgb="FFEEF2F9"/>
        <bgColor rgb="FFDBF3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BD5D5"/>
        </patternFill>
      </fill>
    </dxf>
    <dxf>
      <fill>
        <patternFill>
          <bgColor rgb="FFDBF3E4"/>
        </patternFill>
      </fill>
    </dxf>
  </dxfs>
  <colors>
    <indexedColors>
      <rgbColor rgb="FF000000"/>
      <rgbColor rgb="FFEEF2F9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F3E4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97089"/>
      <rgbColor rgb="FF969696"/>
      <rgbColor rgb="FF1F3864"/>
      <rgbColor rgb="FF1A9E5C"/>
      <rgbColor rgb="FF003300"/>
      <rgbColor rgb="FF333300"/>
      <rgbColor rgb="FF993300"/>
      <rgbColor rgb="FF993366"/>
      <rgbColor rgb="FF333399"/>
      <rgbColor rgb="FF23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9.4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4" t="s">
        <v>2</v>
      </c>
    </row>
    <row r="5" customFormat="false" ht="17.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9.4" hidden="false" customHeight="false" outlineLevel="0" collapsed="false">
      <c r="A7" s="3" t="s">
        <v>4</v>
      </c>
    </row>
    <row r="8" customFormat="false" ht="32.8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/>
    </row>
    <row r="14" customFormat="false" ht="19.4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32.8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2"/>
    </row>
    <row r="18" customFormat="false" ht="19.4" hidden="false" customHeight="false" outlineLevel="0" collapsed="false">
      <c r="A18" s="3" t="s">
        <v>13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0"/>
  </cols>
  <sheetData>
    <row r="1" customFormat="false" ht="23.1" hidden="false" customHeight="false" outlineLevel="0" collapsed="false">
      <c r="A1" s="8" t="s">
        <v>18</v>
      </c>
    </row>
    <row r="2" customFormat="false" ht="15" hidden="false" customHeight="false" outlineLevel="0" collapsed="false">
      <c r="A2" s="9" t="s">
        <v>19</v>
      </c>
    </row>
    <row r="4" customFormat="false" ht="17.15" hidden="false" customHeight="false" outlineLevel="0" collapsed="false">
      <c r="A4" s="10" t="s">
        <v>20</v>
      </c>
      <c r="B4" s="11" t="n">
        <v>26300</v>
      </c>
      <c r="D4" s="12" t="s">
        <v>21</v>
      </c>
    </row>
    <row r="6" customFormat="false" ht="19.4" hidden="false" customHeight="false" outlineLevel="0" collapsed="false">
      <c r="A6" s="13" t="s">
        <v>22</v>
      </c>
      <c r="B6" s="14"/>
    </row>
    <row r="7" customFormat="false" ht="17.15" hidden="false" customHeight="false" outlineLevel="0" collapsed="false">
      <c r="A7" s="10" t="s">
        <v>23</v>
      </c>
      <c r="B7" s="15" t="n">
        <v>70000</v>
      </c>
      <c r="D7" s="9" t="s">
        <v>24</v>
      </c>
    </row>
    <row r="8" customFormat="false" ht="15" hidden="false" customHeight="false" outlineLevel="0" collapsed="false">
      <c r="A8" s="10" t="s">
        <v>25</v>
      </c>
      <c r="B8" s="16" t="n">
        <v>0.4</v>
      </c>
      <c r="D8" s="9" t="s">
        <v>26</v>
      </c>
    </row>
    <row r="9" customFormat="false" ht="15" hidden="false" customHeight="false" outlineLevel="0" collapsed="false">
      <c r="A9" s="10" t="s">
        <v>27</v>
      </c>
      <c r="B9" s="16" t="n">
        <v>0.03</v>
      </c>
      <c r="D9" s="12" t="s">
        <v>28</v>
      </c>
    </row>
    <row r="10" customFormat="false" ht="15" hidden="false" customHeight="false" outlineLevel="0" collapsed="false">
      <c r="A10" s="10" t="s">
        <v>29</v>
      </c>
      <c r="B10" s="16" t="n">
        <v>0.06</v>
      </c>
      <c r="D10" s="9" t="s">
        <v>30</v>
      </c>
    </row>
    <row r="11" customFormat="false" ht="15" hidden="false" customHeight="false" outlineLevel="0" collapsed="false">
      <c r="A11" s="10" t="s">
        <v>31</v>
      </c>
      <c r="B11" s="16" t="n">
        <v>0.05</v>
      </c>
      <c r="D11" s="12" t="s">
        <v>32</v>
      </c>
    </row>
    <row r="12" customFormat="false" ht="15" hidden="false" customHeight="false" outlineLevel="0" collapsed="false">
      <c r="A12" s="10" t="s">
        <v>33</v>
      </c>
      <c r="B12" s="17" t="n">
        <f aca="false">B8+B9+B10+B11</f>
        <v>0.54</v>
      </c>
    </row>
    <row r="13" customFormat="false" ht="17.15" hidden="false" customHeight="false" outlineLevel="0" collapsed="false">
      <c r="A13" s="10" t="s">
        <v>34</v>
      </c>
      <c r="B13" s="18" t="n">
        <f aca="false">1-B12</f>
        <v>0.46</v>
      </c>
    </row>
    <row r="14" customFormat="false" ht="17.15" hidden="false" customHeight="false" outlineLevel="0" collapsed="false">
      <c r="A14" s="10" t="s">
        <v>35</v>
      </c>
      <c r="B14" s="19" t="n">
        <f aca="false">B7*B13</f>
        <v>32200</v>
      </c>
    </row>
    <row r="16" customFormat="false" ht="19.4" hidden="false" customHeight="false" outlineLevel="0" collapsed="false">
      <c r="A16" s="20" t="s">
        <v>36</v>
      </c>
      <c r="B16" s="14"/>
    </row>
    <row r="17" customFormat="false" ht="17.15" hidden="false" customHeight="false" outlineLevel="0" collapsed="false">
      <c r="A17" s="21" t="s">
        <v>37</v>
      </c>
      <c r="B17" s="16" t="n">
        <v>0.3</v>
      </c>
      <c r="D17" s="12" t="s">
        <v>38</v>
      </c>
    </row>
    <row r="18" customFormat="false" ht="17.15" hidden="false" customHeight="false" outlineLevel="0" collapsed="false">
      <c r="A18" s="21" t="s">
        <v>39</v>
      </c>
      <c r="B18" s="16" t="n">
        <v>0.25</v>
      </c>
      <c r="D18" s="9" t="s">
        <v>40</v>
      </c>
    </row>
    <row r="19" customFormat="false" ht="17.15" hidden="false" customHeight="false" outlineLevel="0" collapsed="false">
      <c r="A19" s="10" t="s">
        <v>41</v>
      </c>
      <c r="B19" s="22" t="n">
        <f aca="false">B7*B17*B18</f>
        <v>5250</v>
      </c>
    </row>
    <row r="20" customFormat="false" ht="17.15" hidden="false" customHeight="false" outlineLevel="0" collapsed="false">
      <c r="A20" s="10" t="s">
        <v>42</v>
      </c>
      <c r="B20" s="19" t="n">
        <f aca="false">B14-B19</f>
        <v>26950</v>
      </c>
    </row>
    <row r="22" customFormat="false" ht="19.4" hidden="false" customHeight="false" outlineLevel="0" collapsed="false">
      <c r="A22" s="13" t="s">
        <v>43</v>
      </c>
      <c r="B22" s="14"/>
    </row>
    <row r="23" customFormat="false" ht="17.15" hidden="false" customHeight="false" outlineLevel="0" collapsed="false">
      <c r="A23" s="10" t="s">
        <v>44</v>
      </c>
      <c r="B23" s="15" t="n">
        <v>8000000</v>
      </c>
    </row>
    <row r="24" customFormat="false" ht="17.15" hidden="false" customHeight="false" outlineLevel="0" collapsed="false">
      <c r="A24" s="10" t="s">
        <v>45</v>
      </c>
      <c r="B24" s="15" t="n">
        <v>25000000</v>
      </c>
    </row>
    <row r="25" customFormat="false" ht="15" hidden="false" customHeight="false" outlineLevel="0" collapsed="false">
      <c r="A25" s="10" t="s">
        <v>46</v>
      </c>
      <c r="B25" s="15" t="n">
        <v>30000000</v>
      </c>
    </row>
    <row r="26" customFormat="false" ht="15" hidden="false" customHeight="false" outlineLevel="0" collapsed="false">
      <c r="A26" s="10" t="s">
        <v>47</v>
      </c>
      <c r="B26" s="15" t="n">
        <v>7000000</v>
      </c>
    </row>
    <row r="27" customFormat="false" ht="17.15" hidden="false" customHeight="false" outlineLevel="0" collapsed="false">
      <c r="A27" s="23" t="s">
        <v>48</v>
      </c>
      <c r="B27" s="22" t="n">
        <f aca="false">SUM(B23:B26)</f>
        <v>70000000</v>
      </c>
    </row>
    <row r="29" customFormat="false" ht="15" hidden="false" customHeight="false" outlineLevel="0" collapsed="false">
      <c r="A29" s="13" t="s">
        <v>49</v>
      </c>
      <c r="B29" s="14"/>
    </row>
    <row r="30" customFormat="false" ht="15" hidden="false" customHeight="false" outlineLevel="0" collapsed="false">
      <c r="A30" s="10" t="s">
        <v>50</v>
      </c>
      <c r="B30" s="11" t="n">
        <v>3</v>
      </c>
    </row>
    <row r="31" customFormat="false" ht="17.15" hidden="false" customHeight="false" outlineLevel="0" collapsed="false">
      <c r="A31" s="21" t="s">
        <v>51</v>
      </c>
      <c r="B31" s="11" t="n">
        <v>7</v>
      </c>
      <c r="D31" s="12" t="s">
        <v>52</v>
      </c>
    </row>
    <row r="32" customFormat="false" ht="17.15" hidden="false" customHeight="false" outlineLevel="0" collapsed="false">
      <c r="A32" s="10" t="s">
        <v>53</v>
      </c>
      <c r="B32" s="11" t="n">
        <v>30</v>
      </c>
    </row>
    <row r="33" customFormat="false" ht="15" hidden="false" customHeight="false" outlineLevel="0" collapsed="false">
      <c r="A33" s="10" t="s">
        <v>54</v>
      </c>
      <c r="B33" s="24" t="n">
        <f aca="false">B30*B31*B32</f>
        <v>630</v>
      </c>
    </row>
    <row r="34" customFormat="false" ht="15" hidden="false" customHeight="false" outlineLevel="0" collapsed="false">
      <c r="A34" s="10" t="s">
        <v>55</v>
      </c>
      <c r="B34" s="25" t="n">
        <f aca="false">B33*B20</f>
        <v>16978500</v>
      </c>
    </row>
    <row r="35" customFormat="false" ht="15" hidden="false" customHeight="false" outlineLevel="0" collapsed="false">
      <c r="A35" s="23" t="s">
        <v>56</v>
      </c>
      <c r="B35" s="25" t="n">
        <f aca="false">B34-B27</f>
        <v>-53021500</v>
      </c>
    </row>
    <row r="36" customFormat="false" ht="17.15" hidden="false" customHeight="false" outlineLevel="0" collapsed="false">
      <c r="A36" s="10" t="s">
        <v>57</v>
      </c>
      <c r="B36" s="26" t="n">
        <f aca="false">B35/B4</f>
        <v>-2016.02661596958</v>
      </c>
    </row>
    <row r="38" customFormat="false" ht="15" hidden="false" customHeight="false" outlineLevel="0" collapsed="false">
      <c r="A38" s="13" t="s">
        <v>58</v>
      </c>
      <c r="B38" s="14"/>
    </row>
    <row r="39" customFormat="false" ht="15" hidden="false" customHeight="false" outlineLevel="0" collapsed="false">
      <c r="A39" s="10" t="s">
        <v>59</v>
      </c>
      <c r="B39" s="27" t="n">
        <f aca="false">IF(B20&lt;=0,"貢献≤0",CEILING(B27/B20,1))</f>
        <v>2598</v>
      </c>
    </row>
    <row r="40" customFormat="false" ht="17.15" hidden="false" customHeight="false" outlineLevel="0" collapsed="false">
      <c r="A40" s="10" t="s">
        <v>60</v>
      </c>
      <c r="B40" s="27" t="n">
        <f aca="false">IF(B20&lt;=0,"—",CEILING(B27/(B20*B31*B32),1))</f>
        <v>13</v>
      </c>
    </row>
    <row r="41" customFormat="false" ht="17.15" hidden="false" customHeight="false" outlineLevel="0" collapsed="false">
      <c r="A41" s="10" t="s">
        <v>61</v>
      </c>
      <c r="B41" s="27" t="n">
        <f aca="false">IF(B20&lt;=0,"—",CEILING(B27/(B20*B30*B32),0.1))</f>
        <v>28.9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21.6" hidden="false" customHeight="false" outlineLevel="0" collapsed="false">
      <c r="A1" s="28" t="s">
        <v>62</v>
      </c>
    </row>
    <row r="2" customFormat="false" ht="15" hidden="false" customHeight="false" outlineLevel="0" collapsed="false">
      <c r="A2" s="9" t="s">
        <v>63</v>
      </c>
    </row>
    <row r="4" customFormat="false" ht="17.15" hidden="false" customHeight="false" outlineLevel="0" collapsed="false">
      <c r="A4" s="29" t="s">
        <v>64</v>
      </c>
      <c r="B4" s="30" t="n">
        <v>3</v>
      </c>
      <c r="C4" s="30" t="n">
        <v>5</v>
      </c>
      <c r="D4" s="30" t="n">
        <v>8</v>
      </c>
      <c r="E4" s="30" t="n">
        <v>10</v>
      </c>
      <c r="F4" s="30" t="n">
        <v>15</v>
      </c>
      <c r="G4" s="30" t="n">
        <v>20</v>
      </c>
    </row>
    <row r="5" customFormat="false" ht="15" hidden="false" customHeight="false" outlineLevel="0" collapsed="false">
      <c r="A5" s="30" t="n">
        <v>4</v>
      </c>
      <c r="B5" s="31" t="n">
        <f aca="false">3*4*損益分岐!B32*損益分岐!B20-損益分岐!B27</f>
        <v>-60298000</v>
      </c>
      <c r="C5" s="31" t="n">
        <f aca="false">5*4*損益分岐!B32*損益分岐!B20-損益分岐!B27</f>
        <v>-53830000</v>
      </c>
      <c r="D5" s="31" t="n">
        <f aca="false">8*4*損益分岐!B32*損益分岐!B20-損益分岐!B27</f>
        <v>-44128000</v>
      </c>
      <c r="E5" s="31" t="n">
        <f aca="false">10*4*損益分岐!B32*損益分岐!B20-損益分岐!B27</f>
        <v>-37660000</v>
      </c>
      <c r="F5" s="31" t="n">
        <f aca="false">15*4*損益分岐!B32*損益分岐!B20-損益分岐!B27</f>
        <v>-21490000</v>
      </c>
      <c r="G5" s="31" t="n">
        <f aca="false">20*4*損益分岐!B32*損益分岐!B20-損益分岐!B27</f>
        <v>-5320000.00000001</v>
      </c>
    </row>
    <row r="6" customFormat="false" ht="15" hidden="false" customHeight="false" outlineLevel="0" collapsed="false">
      <c r="A6" s="30" t="n">
        <v>5</v>
      </c>
      <c r="B6" s="31" t="n">
        <f aca="false">3*5*損益分岐!B32*損益分岐!B20-損益分岐!B27</f>
        <v>-57872500</v>
      </c>
      <c r="C6" s="31" t="n">
        <f aca="false">5*5*損益分岐!B32*損益分岐!B20-損益分岐!B27</f>
        <v>-49787500</v>
      </c>
      <c r="D6" s="31" t="n">
        <f aca="false">8*5*損益分岐!B32*損益分岐!B20-損益分岐!B27</f>
        <v>-37660000</v>
      </c>
      <c r="E6" s="31" t="n">
        <f aca="false">10*5*損益分岐!B32*損益分岐!B20-損益分岐!B27</f>
        <v>-29575000</v>
      </c>
      <c r="F6" s="31" t="n">
        <f aca="false">15*5*損益分岐!B32*損益分岐!B20-損益分岐!B27</f>
        <v>-9362500.00000001</v>
      </c>
      <c r="G6" s="31" t="n">
        <f aca="false">20*5*損益分岐!B32*損益分岐!B20-損益分岐!B27</f>
        <v>10850000</v>
      </c>
    </row>
    <row r="7" customFormat="false" ht="15" hidden="false" customHeight="false" outlineLevel="0" collapsed="false">
      <c r="A7" s="30" t="n">
        <v>6</v>
      </c>
      <c r="B7" s="31" t="n">
        <f aca="false">3*6*損益分岐!B32*損益分岐!B20-損益分岐!B27</f>
        <v>-55447000</v>
      </c>
      <c r="C7" s="31" t="n">
        <f aca="false">5*6*損益分岐!B32*損益分岐!B20-損益分岐!B27</f>
        <v>-45745000</v>
      </c>
      <c r="D7" s="31" t="n">
        <f aca="false">8*6*損益分岐!B32*損益分岐!B20-損益分岐!B27</f>
        <v>-31192000</v>
      </c>
      <c r="E7" s="31" t="n">
        <f aca="false">10*6*損益分岐!B32*損益分岐!B20-損益分岐!B27</f>
        <v>-21490000</v>
      </c>
      <c r="F7" s="31" t="n">
        <f aca="false">15*6*損益分岐!B32*損益分岐!B20-損益分岐!B27</f>
        <v>2764999.99999999</v>
      </c>
      <c r="G7" s="31" t="n">
        <f aca="false">20*6*損益分岐!B32*損益分岐!B20-損益分岐!B27</f>
        <v>27020000</v>
      </c>
    </row>
    <row r="8" customFormat="false" ht="15" hidden="false" customHeight="false" outlineLevel="0" collapsed="false">
      <c r="A8" s="30" t="n">
        <v>7</v>
      </c>
      <c r="B8" s="31" t="n">
        <f aca="false">3*7*損益分岐!B32*損益分岐!B20-損益分岐!B27</f>
        <v>-53021500</v>
      </c>
      <c r="C8" s="31" t="n">
        <f aca="false">5*7*損益分岐!B32*損益分岐!B20-損益分岐!B27</f>
        <v>-41702500</v>
      </c>
      <c r="D8" s="31" t="n">
        <f aca="false">8*7*損益分岐!B32*損益分岐!B20-損益分岐!B27</f>
        <v>-24724000</v>
      </c>
      <c r="E8" s="31" t="n">
        <f aca="false">10*7*損益分岐!B32*損益分岐!B20-損益分岐!B27</f>
        <v>-13405000</v>
      </c>
      <c r="F8" s="31" t="n">
        <f aca="false">15*7*損益分岐!B32*損益分岐!B20-損益分岐!B27</f>
        <v>14892500</v>
      </c>
      <c r="G8" s="31" t="n">
        <f aca="false">20*7*損益分岐!B32*損益分岐!B20-損益分岐!B27</f>
        <v>43190000</v>
      </c>
    </row>
    <row r="9" customFormat="false" ht="15" hidden="false" customHeight="false" outlineLevel="0" collapsed="false">
      <c r="A9" s="30" t="n">
        <v>8</v>
      </c>
      <c r="B9" s="31" t="n">
        <f aca="false">3*8*損益分岐!B32*損益分岐!B20-損益分岐!B27</f>
        <v>-50596000</v>
      </c>
      <c r="C9" s="31" t="n">
        <f aca="false">5*8*損益分岐!B32*損益分岐!B20-損益分岐!B27</f>
        <v>-37660000</v>
      </c>
      <c r="D9" s="31" t="n">
        <f aca="false">8*8*損益分岐!B32*損益分岐!B20-損益分岐!B27</f>
        <v>-18256000</v>
      </c>
      <c r="E9" s="31" t="n">
        <f aca="false">10*8*損益分岐!B32*損益分岐!B20-損益分岐!B27</f>
        <v>-5320000.00000001</v>
      </c>
      <c r="F9" s="31" t="n">
        <f aca="false">15*8*損益分岐!B32*損益分岐!B20-損益分岐!B27</f>
        <v>27020000</v>
      </c>
      <c r="G9" s="31" t="n">
        <f aca="false">20*8*損益分岐!B32*損益分岐!B20-損益分岐!B27</f>
        <v>59360000</v>
      </c>
    </row>
    <row r="10" customFormat="false" ht="15" hidden="false" customHeight="false" outlineLevel="0" collapsed="false">
      <c r="A10" s="30" t="n">
        <v>9</v>
      </c>
      <c r="B10" s="31" t="n">
        <f aca="false">3*9*損益分岐!B32*損益分岐!B20-損益分岐!B27</f>
        <v>-48170500</v>
      </c>
      <c r="C10" s="31" t="n">
        <f aca="false">5*9*損益分岐!B32*損益分岐!B20-損益分岐!B27</f>
        <v>-33617500</v>
      </c>
      <c r="D10" s="31" t="n">
        <f aca="false">8*9*損益分岐!B32*損益分岐!B20-損益分岐!B27</f>
        <v>-11788000</v>
      </c>
      <c r="E10" s="31" t="n">
        <f aca="false">10*9*損益分岐!B32*損益分岐!B20-損益分岐!B27</f>
        <v>2764999.99999999</v>
      </c>
      <c r="F10" s="31" t="n">
        <f aca="false">15*9*損益分岐!B32*損益分岐!B20-損益分岐!B27</f>
        <v>39147500</v>
      </c>
      <c r="G10" s="31" t="n">
        <f aca="false">20*9*損益分岐!B32*損益分岐!B20-損益分岐!B27</f>
        <v>75530000</v>
      </c>
    </row>
    <row r="11" customFormat="false" ht="15" hidden="false" customHeight="false" outlineLevel="0" collapsed="false">
      <c r="A11" s="30" t="n">
        <v>10</v>
      </c>
      <c r="B11" s="31" t="n">
        <f aca="false">3*10*損益分岐!B32*損益分岐!B20-損益分岐!B27</f>
        <v>-45745000</v>
      </c>
      <c r="C11" s="31" t="n">
        <f aca="false">5*10*損益分岐!B32*損益分岐!B20-損益分岐!B27</f>
        <v>-29575000</v>
      </c>
      <c r="D11" s="31" t="n">
        <f aca="false">8*10*損益分岐!B32*損益分岐!B20-損益分岐!B27</f>
        <v>-5320000.00000001</v>
      </c>
      <c r="E11" s="31" t="n">
        <f aca="false">10*10*損益分岐!B32*損益分岐!B20-損益分岐!B27</f>
        <v>10850000</v>
      </c>
      <c r="F11" s="31" t="n">
        <f aca="false">15*10*損益分岐!B32*損益分岐!B20-損益分岐!B27</f>
        <v>51275000</v>
      </c>
      <c r="G11" s="31" t="n">
        <f aca="false">20*10*損益分岐!B32*損益分岐!B20-損益分岐!B27</f>
        <v>91700000</v>
      </c>
    </row>
    <row r="14" customFormat="false" ht="19.4" hidden="false" customHeight="false" outlineLevel="0" collapsed="false">
      <c r="A14" s="13" t="s">
        <v>65</v>
      </c>
      <c r="B14" s="14"/>
    </row>
    <row r="15" customFormat="false" ht="17.15" hidden="false" customHeight="false" outlineLevel="0" collapsed="false">
      <c r="A15" s="29" t="s">
        <v>66</v>
      </c>
      <c r="B15" s="29" t="s">
        <v>67</v>
      </c>
      <c r="C15" s="29" t="s">
        <v>68</v>
      </c>
    </row>
    <row r="16" customFormat="false" ht="15" hidden="false" customHeight="false" outlineLevel="0" collapsed="false">
      <c r="A16" s="32" t="n">
        <v>4</v>
      </c>
      <c r="B16" s="27" t="n">
        <f aca="false">IF(損益分岐!B20&lt;=0,"—",CEILING(損益分岐!B27/(損益分岐!B20*4*損益分岐!B32),1))</f>
        <v>22</v>
      </c>
      <c r="C16" s="33" t="n">
        <f aca="false">IF(損益分岐!B20&lt;=0,"—",B16*4*損益分岐!B32)</f>
        <v>2640</v>
      </c>
    </row>
    <row r="17" customFormat="false" ht="15" hidden="false" customHeight="false" outlineLevel="0" collapsed="false">
      <c r="A17" s="32" t="n">
        <v>5</v>
      </c>
      <c r="B17" s="27" t="n">
        <f aca="false">IF(損益分岐!B20&lt;=0,"—",CEILING(損益分岐!B27/(損益分岐!B20*5*損益分岐!B32),1))</f>
        <v>18</v>
      </c>
      <c r="C17" s="33" t="n">
        <f aca="false">IF(損益分岐!B20&lt;=0,"—",B17*5*損益分岐!B32)</f>
        <v>2700</v>
      </c>
    </row>
    <row r="18" customFormat="false" ht="15" hidden="false" customHeight="false" outlineLevel="0" collapsed="false">
      <c r="A18" s="32" t="n">
        <v>6</v>
      </c>
      <c r="B18" s="27" t="n">
        <f aca="false">IF(損益分岐!B20&lt;=0,"—",CEILING(損益分岐!B27/(損益分岐!B20*6*損益分岐!B32),1))</f>
        <v>15</v>
      </c>
      <c r="C18" s="33" t="n">
        <f aca="false">IF(損益分岐!B20&lt;=0,"—",B18*6*損益分岐!B32)</f>
        <v>2700</v>
      </c>
    </row>
    <row r="19" customFormat="false" ht="15" hidden="false" customHeight="false" outlineLevel="0" collapsed="false">
      <c r="A19" s="32" t="n">
        <v>7</v>
      </c>
      <c r="B19" s="27" t="n">
        <f aca="false">IF(損益分岐!B20&lt;=0,"—",CEILING(損益分岐!B27/(損益分岐!B20*7*損益分岐!B32),1))</f>
        <v>13</v>
      </c>
      <c r="C19" s="33" t="n">
        <f aca="false">IF(損益分岐!B20&lt;=0,"—",B19*7*損益分岐!B32)</f>
        <v>2730</v>
      </c>
    </row>
    <row r="20" customFormat="false" ht="15" hidden="false" customHeight="false" outlineLevel="0" collapsed="false">
      <c r="A20" s="32" t="n">
        <v>8</v>
      </c>
      <c r="B20" s="27" t="n">
        <f aca="false">IF(損益分岐!B20&lt;=0,"—",CEILING(損益分岐!B27/(損益分岐!B20*8*損益分岐!B32),1))</f>
        <v>11</v>
      </c>
      <c r="C20" s="33" t="n">
        <f aca="false">IF(損益分岐!B20&lt;=0,"—",B20*8*損益分岐!B32)</f>
        <v>2640</v>
      </c>
    </row>
    <row r="21" customFormat="false" ht="15" hidden="false" customHeight="false" outlineLevel="0" collapsed="false">
      <c r="A21" s="32" t="n">
        <v>9</v>
      </c>
      <c r="B21" s="27" t="n">
        <f aca="false">IF(損益分岐!B20&lt;=0,"—",CEILING(損益分岐!B27/(損益分岐!B20*9*損益分岐!B32),1))</f>
        <v>10</v>
      </c>
      <c r="C21" s="33" t="n">
        <f aca="false">IF(損益分岐!B20&lt;=0,"—",B21*9*損益分岐!B32)</f>
        <v>2700</v>
      </c>
    </row>
    <row r="22" customFormat="false" ht="15" hidden="false" customHeight="false" outlineLevel="0" collapsed="false">
      <c r="A22" s="32" t="n">
        <v>10</v>
      </c>
      <c r="B22" s="27" t="n">
        <f aca="false">IF(損益分岐!B20&lt;=0,"—",CEILING(損益分岐!B27/(損益分岐!B20*10*損益分岐!B32),1))</f>
        <v>9</v>
      </c>
      <c r="C22" s="33" t="n">
        <f aca="false">IF(損益分岐!B20&lt;=0,"—",B22*10*損益分岐!B32)</f>
        <v>2700</v>
      </c>
    </row>
  </sheetData>
  <conditionalFormatting sqref="B5:G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2026-07-29T02:28:50Z</dcterms:created>
  <dc:creator>openpyxl</dc:creator>
  <dc:description/>
  <dc:language>en-US</dc:language>
  <cp:lastModifiedBy/>
  <dcterms:modified xsi:type="dcterms:W3CDTF">2026-07-29T02:29:48Z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