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ダッシュボード" sheetId="2" state="visible" r:id="rId4"/>
    <sheet name="収益・原価" sheetId="3" state="visible" r:id="rId5"/>
    <sheet name="固定費" sheetId="4" state="visible" r:id="rId6"/>
    <sheet name="24ヶ月キャッシュフロー" sheetId="5" state="visible" r:id="rId7"/>
    <sheet name="感度分析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<sst xmlns="http://schemas.openxmlformats.org/spreadsheetml/2006/main" count="151" uniqueCount="138">
  <si>
    <r>
      <rPr>
        <b val="true"/>
        <sz val="15"/>
        <color rgb="FF1F3864"/>
        <rFont val="Arial"/>
        <family val="0"/>
        <charset val="1"/>
      </rPr>
      <t xml:space="preserve">KONCOCHII </t>
    </r>
    <r>
      <rPr>
        <b val="true"/>
        <sz val="15"/>
        <color rgb="FF1F3864"/>
        <rFont val="Noto Sans CJK SC"/>
        <family val="2"/>
      </rPr>
      <t xml:space="preserve">損益分岐点シミュレーション（詳細版）</t>
    </r>
  </si>
  <si>
    <t xml:space="preserve">このブックは前提を変えると全タブが自動再計算します。黄色セル＝入力、黒字＝計算結果です。</t>
  </si>
  <si>
    <t xml:space="preserve">【タブ構成】</t>
  </si>
  <si>
    <r>
      <rPr>
        <sz val="11"/>
        <color rgb="FF232A3A"/>
        <rFont val="Arial"/>
        <family val="0"/>
        <charset val="1"/>
      </rPr>
      <t xml:space="preserve">1) </t>
    </r>
    <r>
      <rPr>
        <sz val="11"/>
        <color rgb="FF232A3A"/>
        <rFont val="Noto Sans CJK SC"/>
        <family val="2"/>
      </rPr>
      <t xml:space="preserve">ダッシュボード … 主要な結果（月次損益・黒字化ライン・黒字化月・最大必要資金）を一覧。まずここを見る。</t>
    </r>
  </si>
  <si>
    <r>
      <rPr>
        <sz val="11"/>
        <color rgb="FF232A3A"/>
        <rFont val="Arial"/>
        <family val="0"/>
        <charset val="1"/>
      </rPr>
      <t xml:space="preserve">2) </t>
    </r>
    <r>
      <rPr>
        <sz val="11"/>
        <color rgb="FF232A3A"/>
        <rFont val="Noto Sans CJK SC"/>
        <family val="2"/>
      </rPr>
      <t xml:space="preserve">収益・原価 … サイズ</t>
    </r>
    <r>
      <rPr>
        <sz val="11"/>
        <color rgb="FF232A3A"/>
        <rFont val="Arial"/>
        <family val="0"/>
        <charset val="1"/>
      </rPr>
      <t xml:space="preserve">(S/M/L)×</t>
    </r>
    <r>
      <rPr>
        <sz val="11"/>
        <color rgb="FF232A3A"/>
        <rFont val="Noto Sans CJK SC"/>
        <family val="2"/>
      </rPr>
      <t xml:space="preserve">プラン</t>
    </r>
    <r>
      <rPr>
        <sz val="11"/>
        <color rgb="FF232A3A"/>
        <rFont val="Arial"/>
        <family val="0"/>
        <charset val="1"/>
      </rPr>
      <t xml:space="preserve">(3/6/12h)</t>
    </r>
    <r>
      <rPr>
        <sz val="11"/>
        <color rgb="FF232A3A"/>
        <rFont val="Noto Sans CJK SC"/>
        <family val="2"/>
      </rPr>
      <t xml:space="preserve">の構成比と、直販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ホテル紹介</t>
    </r>
    <r>
      <rPr>
        <sz val="11"/>
        <color rgb="FF232A3A"/>
        <rFont val="Arial"/>
        <family val="0"/>
        <charset val="1"/>
      </rPr>
      <t xml:space="preserve">/OTA</t>
    </r>
    <r>
      <rPr>
        <sz val="11"/>
        <color rgb="FF232A3A"/>
        <rFont val="Noto Sans CJK SC"/>
        <family val="2"/>
      </rPr>
      <t xml:space="preserve">のチャネル構成から、</t>
    </r>
    <r>
      <rPr>
        <sz val="11"/>
        <color rgb="FF232A3A"/>
        <rFont val="Arial"/>
        <family val="0"/>
        <charset val="1"/>
      </rPr>
      <t xml:space="preserve">1</t>
    </r>
    <r>
      <rPr>
        <sz val="11"/>
        <color rgb="FF232A3A"/>
        <rFont val="Noto Sans CJK SC"/>
        <family val="2"/>
      </rPr>
      <t xml:space="preserve">予約の加重単価・純貢献を算出。</t>
    </r>
  </si>
  <si>
    <r>
      <rPr>
        <sz val="11"/>
        <color rgb="FF232A3A"/>
        <rFont val="Arial"/>
        <family val="0"/>
        <charset val="1"/>
      </rPr>
      <t xml:space="preserve">3) </t>
    </r>
    <r>
      <rPr>
        <sz val="11"/>
        <color rgb="FF232A3A"/>
        <rFont val="Noto Sans CJK SC"/>
        <family val="2"/>
      </rPr>
      <t xml:space="preserve">固定費 … 人員</t>
    </r>
    <r>
      <rPr>
        <sz val="11"/>
        <color rgb="FF232A3A"/>
        <rFont val="Arial"/>
        <family val="0"/>
        <charset val="1"/>
      </rPr>
      <t xml:space="preserve">×</t>
    </r>
    <r>
      <rPr>
        <sz val="11"/>
        <color rgb="FF232A3A"/>
        <rFont val="Noto Sans CJK SC"/>
        <family val="2"/>
      </rPr>
      <t xml:space="preserve">人数</t>
    </r>
    <r>
      <rPr>
        <sz val="11"/>
        <color rgb="FF232A3A"/>
        <rFont val="Arial"/>
        <family val="0"/>
        <charset val="1"/>
      </rPr>
      <t xml:space="preserve">×</t>
    </r>
    <r>
      <rPr>
        <sz val="11"/>
        <color rgb="FF232A3A"/>
        <rFont val="Noto Sans CJK SC"/>
        <family val="2"/>
      </rPr>
      <t xml:space="preserve">月給＋インフラ。人を増減すると即反映。</t>
    </r>
  </si>
  <si>
    <r>
      <rPr>
        <sz val="11"/>
        <color rgb="FF232A3A"/>
        <rFont val="Arial"/>
        <family val="0"/>
        <charset val="1"/>
      </rPr>
      <t xml:space="preserve">4) 24</t>
    </r>
    <r>
      <rPr>
        <sz val="11"/>
        <color rgb="FF232A3A"/>
        <rFont val="Noto Sans CJK SC"/>
        <family val="2"/>
      </rPr>
      <t xml:space="preserve">ヶ月キャッシュフロー … 店舗展開スケジュールと立ち上がり</t>
    </r>
    <r>
      <rPr>
        <sz val="11"/>
        <color rgb="FF232A3A"/>
        <rFont val="Arial"/>
        <family val="0"/>
        <charset val="1"/>
      </rPr>
      <t xml:space="preserve">(</t>
    </r>
    <r>
      <rPr>
        <sz val="11"/>
        <color rgb="FF232A3A"/>
        <rFont val="Noto Sans CJK SC"/>
        <family val="2"/>
      </rPr>
      <t xml:space="preserve">ランプ</t>
    </r>
    <r>
      <rPr>
        <sz val="11"/>
        <color rgb="FF232A3A"/>
        <rFont val="Arial"/>
        <family val="0"/>
        <charset val="1"/>
      </rPr>
      <t xml:space="preserve">)</t>
    </r>
    <r>
      <rPr>
        <sz val="11"/>
        <color rgb="FF232A3A"/>
        <rFont val="Noto Sans CJK SC"/>
        <family val="2"/>
      </rPr>
      <t xml:space="preserve">から、月次損益と累計現金、黒字化月・最大必要運転資金を算出。</t>
    </r>
  </si>
  <si>
    <r>
      <rPr>
        <sz val="11"/>
        <color rgb="FF232A3A"/>
        <rFont val="Arial"/>
        <family val="0"/>
        <charset val="1"/>
      </rPr>
      <t xml:space="preserve">5) </t>
    </r>
    <r>
      <rPr>
        <sz val="11"/>
        <color rgb="FF232A3A"/>
        <rFont val="Noto Sans CJK SC"/>
        <family val="2"/>
      </rPr>
      <t xml:space="preserve">感度分析 … </t>
    </r>
    <r>
      <rPr>
        <sz val="11"/>
        <color rgb="FF232A3A"/>
        <rFont val="Arial"/>
        <family val="0"/>
        <charset val="1"/>
      </rPr>
      <t xml:space="preserve">2</t>
    </r>
    <r>
      <rPr>
        <sz val="11"/>
        <color rgb="FF232A3A"/>
        <rFont val="Noto Sans CJK SC"/>
        <family val="2"/>
      </rPr>
      <t xml:space="preserve">つの前提を振ったときの月次損益グリッド（赤</t>
    </r>
    <r>
      <rPr>
        <sz val="11"/>
        <color rgb="FF232A3A"/>
        <rFont val="Arial"/>
        <family val="0"/>
        <charset val="1"/>
      </rPr>
      <t xml:space="preserve">=</t>
    </r>
    <r>
      <rPr>
        <sz val="11"/>
        <color rgb="FF232A3A"/>
        <rFont val="Noto Sans CJK SC"/>
        <family val="2"/>
      </rPr>
      <t xml:space="preserve">赤字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緑</t>
    </r>
    <r>
      <rPr>
        <sz val="11"/>
        <color rgb="FF232A3A"/>
        <rFont val="Arial"/>
        <family val="0"/>
        <charset val="1"/>
      </rPr>
      <t xml:space="preserve">=</t>
    </r>
    <r>
      <rPr>
        <sz val="11"/>
        <color rgb="FF232A3A"/>
        <rFont val="Noto Sans CJK SC"/>
        <family val="2"/>
      </rPr>
      <t xml:space="preserve">黒字）。</t>
    </r>
  </si>
  <si>
    <t xml:space="preserve">【使い方の順序】</t>
  </si>
  <si>
    <r>
      <rPr>
        <sz val="11"/>
        <color rgb="FF232A3A"/>
        <rFont val="Noto Sans CJK SC"/>
        <family val="2"/>
      </rPr>
      <t xml:space="preserve">① 収益・原価タブでサイズ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プラン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チャネル構成と単価を現実に合わせる → </t>
    </r>
    <r>
      <rPr>
        <sz val="11"/>
        <color rgb="FF232A3A"/>
        <rFont val="Arial"/>
        <family val="0"/>
        <charset val="1"/>
      </rPr>
      <t xml:space="preserve">1</t>
    </r>
    <r>
      <rPr>
        <sz val="11"/>
        <color rgb="FF232A3A"/>
        <rFont val="Noto Sans CJK SC"/>
        <family val="2"/>
      </rPr>
      <t xml:space="preserve">予約あたり純貢献が決まる。</t>
    </r>
  </si>
  <si>
    <r>
      <rPr>
        <sz val="11"/>
        <color rgb="FF232A3A"/>
        <rFont val="Noto Sans CJK SC"/>
        <family val="2"/>
      </rPr>
      <t xml:space="preserve">② 固定費タブで人員と月額を入れる。 ③ ダッシュボードで店舗数・件数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日を動かし損益と分岐点を見る。</t>
    </r>
  </si>
  <si>
    <r>
      <rPr>
        <sz val="11"/>
        <color rgb="FF232A3A"/>
        <rFont val="Arial"/>
        <family val="0"/>
        <charset val="1"/>
      </rPr>
      <t xml:space="preserve">④ 24</t>
    </r>
    <r>
      <rPr>
        <sz val="11"/>
        <color rgb="FF232A3A"/>
        <rFont val="Noto Sans CJK SC"/>
        <family val="2"/>
      </rPr>
      <t xml:space="preserve">ヶ月タブで展開スケジュールを入れ、黒字化月と最大必要資金（資金調達額の目安）を確認。</t>
    </r>
  </si>
  <si>
    <r>
      <rPr>
        <sz val="10"/>
        <color rgb="FF697089"/>
        <rFont val="Noto Sans CJK SC"/>
        <family val="2"/>
      </rPr>
      <t xml:space="preserve">【出典】</t>
    </r>
    <r>
      <rPr>
        <sz val="10"/>
        <color rgb="FF697089"/>
        <rFont val="Arial"/>
        <family val="0"/>
        <charset val="1"/>
      </rPr>
      <t xml:space="preserve">spec 05-admin</t>
    </r>
    <r>
      <rPr>
        <sz val="10"/>
        <color rgb="FF697089"/>
        <rFont val="Noto Sans CJK SC"/>
        <family val="2"/>
      </rPr>
      <t xml:space="preserve">（原価内訳 店舗</t>
    </r>
    <r>
      <rPr>
        <sz val="10"/>
        <color rgb="FF697089"/>
        <rFont val="Arial"/>
        <family val="0"/>
        <charset val="1"/>
      </rPr>
      <t xml:space="preserve">40/</t>
    </r>
    <r>
      <rPr>
        <sz val="10"/>
        <color rgb="FF697089"/>
        <rFont val="Noto Sans CJK SC"/>
        <family val="2"/>
      </rPr>
      <t xml:space="preserve">決済</t>
    </r>
    <r>
      <rPr>
        <sz val="10"/>
        <color rgb="FF697089"/>
        <rFont val="Arial"/>
        <family val="0"/>
        <charset val="1"/>
      </rPr>
      <t xml:space="preserve">3/</t>
    </r>
    <r>
      <rPr>
        <sz val="10"/>
        <color rgb="FF697089"/>
        <rFont val="Noto Sans CJK SC"/>
        <family val="2"/>
      </rPr>
      <t xml:space="preserve">保険</t>
    </r>
    <r>
      <rPr>
        <sz val="10"/>
        <color rgb="FF697089"/>
        <rFont val="Arial"/>
        <family val="0"/>
        <charset val="1"/>
      </rPr>
      <t xml:space="preserve">6/</t>
    </r>
    <r>
      <rPr>
        <sz val="10"/>
        <color rgb="FF697089"/>
        <rFont val="Noto Sans CJK SC"/>
        <family val="2"/>
      </rPr>
      <t xml:space="preserve">システム</t>
    </r>
    <r>
      <rPr>
        <sz val="10"/>
        <color rgb="FF697089"/>
        <rFont val="Arial"/>
        <family val="0"/>
        <charset val="1"/>
      </rPr>
      <t xml:space="preserve">5</t>
    </r>
    <r>
      <rPr>
        <sz val="10"/>
        <color rgb="FF697089"/>
        <rFont val="Noto Sans CJK SC"/>
        <family val="2"/>
      </rPr>
      <t xml:space="preserve">）・</t>
    </r>
    <r>
      <rPr>
        <sz val="10"/>
        <color rgb="FF697089"/>
        <rFont val="Arial"/>
        <family val="0"/>
        <charset val="1"/>
      </rPr>
      <t xml:space="preserve">price_plans</t>
    </r>
    <r>
      <rPr>
        <sz val="10"/>
        <color rgb="FF697089"/>
        <rFont val="Noto Sans CJK SC"/>
        <family val="2"/>
      </rPr>
      <t xml:space="preserve">（</t>
    </r>
    <r>
      <rPr>
        <sz val="10"/>
        <color rgb="FF697089"/>
        <rFont val="Arial"/>
        <family val="0"/>
        <charset val="1"/>
      </rPr>
      <t xml:space="preserve">S=50/70/100</t>
    </r>
    <r>
      <rPr>
        <sz val="10"/>
        <color rgb="FF697089"/>
        <rFont val="Noto Sans CJK SC"/>
        <family val="2"/>
      </rPr>
      <t xml:space="preserve">・</t>
    </r>
    <r>
      <rPr>
        <sz val="10"/>
        <color rgb="FF697089"/>
        <rFont val="Arial"/>
        <family val="0"/>
        <charset val="1"/>
      </rPr>
      <t xml:space="preserve">M=70/100/150</t>
    </r>
    <r>
      <rPr>
        <sz val="10"/>
        <color rgb="FF697089"/>
        <rFont val="Noto Sans CJK SC"/>
        <family val="2"/>
      </rPr>
      <t xml:space="preserve">・</t>
    </r>
    <r>
      <rPr>
        <sz val="10"/>
        <color rgb="FF697089"/>
        <rFont val="Arial"/>
        <family val="0"/>
        <charset val="1"/>
      </rPr>
      <t xml:space="preserve">L=100/150/200 </t>
    </r>
    <r>
      <rPr>
        <sz val="10"/>
        <color rgb="FF697089"/>
        <rFont val="Noto Sans CJK SC"/>
        <family val="2"/>
      </rPr>
      <t xml:space="preserve">千₫）・事業分析レポート</t>
    </r>
    <r>
      <rPr>
        <sz val="10"/>
        <color rgb="FF697089"/>
        <rFont val="Arial"/>
        <family val="0"/>
        <charset val="1"/>
      </rPr>
      <t xml:space="preserve">(Progress)</t>
    </r>
    <r>
      <rPr>
        <sz val="10"/>
        <color rgb="FF697089"/>
        <rFont val="Noto Sans CJK SC"/>
        <family val="2"/>
      </rPr>
      <t xml:space="preserve">・事業戦略</t>
    </r>
    <r>
      <rPr>
        <sz val="10"/>
        <color rgb="FF697089"/>
        <rFont val="Arial"/>
        <family val="0"/>
        <charset val="1"/>
      </rPr>
      <t xml:space="preserve">_</t>
    </r>
    <r>
      <rPr>
        <sz val="10"/>
        <color rgb="FF697089"/>
        <rFont val="Noto Sans CJK SC"/>
        <family val="2"/>
      </rPr>
      <t xml:space="preserve">勝ち筋。数値は前提であり実測で更新。</t>
    </r>
  </si>
  <si>
    <r>
      <rPr>
        <sz val="10"/>
        <color rgb="FF697089"/>
        <rFont val="Noto Sans CJK SC"/>
        <family val="2"/>
      </rPr>
      <t xml:space="preserve">為替 約</t>
    </r>
    <r>
      <rPr>
        <sz val="10"/>
        <color rgb="FF697089"/>
        <rFont val="Arial"/>
        <family val="0"/>
        <charset val="1"/>
      </rPr>
      <t xml:space="preserve">26,300 VND/USD</t>
    </r>
    <r>
      <rPr>
        <sz val="10"/>
        <color rgb="FF697089"/>
        <rFont val="Noto Sans CJK SC"/>
        <family val="2"/>
      </rPr>
      <t xml:space="preserve">（</t>
    </r>
    <r>
      <rPr>
        <sz val="10"/>
        <color rgb="FF697089"/>
        <rFont val="Arial"/>
        <family val="0"/>
        <charset val="1"/>
      </rPr>
      <t xml:space="preserve">2026-07</t>
    </r>
    <r>
      <rPr>
        <sz val="10"/>
        <color rgb="FF697089"/>
        <rFont val="Noto Sans CJK SC"/>
        <family val="2"/>
      </rPr>
      <t xml:space="preserve">・参考）。</t>
    </r>
  </si>
  <si>
    <t xml:space="preserve">ダッシュボード（主要結果）</t>
  </si>
  <si>
    <r>
      <rPr>
        <sz val="10"/>
        <color rgb="FF697089"/>
        <rFont val="Noto Sans CJK SC"/>
        <family val="2"/>
      </rPr>
      <t xml:space="preserve">黄色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入力。前提の詳細は「収益・原価」「固定費」タブ。ここでは規模（店舗数・件数）を動かす。</t>
    </r>
  </si>
  <si>
    <t xml:space="preserve">規模の入力</t>
  </si>
  <si>
    <r>
      <rPr>
        <b val="true"/>
        <sz val="12"/>
        <color rgb="FF1F3864"/>
        <rFont val="Arial"/>
        <family val="0"/>
        <charset val="1"/>
      </rPr>
      <t xml:space="preserve">1</t>
    </r>
    <r>
      <rPr>
        <b val="true"/>
        <sz val="12"/>
        <color rgb="FF1F3864"/>
        <rFont val="Noto Sans CJK SC"/>
        <family val="2"/>
      </rPr>
      <t xml:space="preserve">予約あたり（収益・原価タブより）</t>
    </r>
  </si>
  <si>
    <t xml:space="preserve">店舗数</t>
  </si>
  <si>
    <r>
      <rPr>
        <sz val="11"/>
        <color rgb="FF232A3A"/>
        <rFont val="Noto Sans CJK SC"/>
        <family val="2"/>
      </rPr>
      <t xml:space="preserve">平均客単価 </t>
    </r>
    <r>
      <rPr>
        <sz val="11"/>
        <color rgb="FF232A3A"/>
        <rFont val="Arial"/>
        <family val="0"/>
        <charset val="1"/>
      </rPr>
      <t xml:space="preserve">ARPB</t>
    </r>
  </si>
  <si>
    <r>
      <rPr>
        <sz val="11"/>
        <color rgb="FF232A3A"/>
        <rFont val="Arial"/>
        <family val="0"/>
        <charset val="1"/>
      </rPr>
      <t xml:space="preserve">1</t>
    </r>
    <r>
      <rPr>
        <sz val="11"/>
        <color rgb="FF232A3A"/>
        <rFont val="Noto Sans CJK SC"/>
        <family val="2"/>
      </rPr>
      <t xml:space="preserve">店舗あたり予約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日</t>
    </r>
  </si>
  <si>
    <r>
      <rPr>
        <sz val="11"/>
        <color rgb="FF232A3A"/>
        <rFont val="Noto Sans CJK SC"/>
        <family val="2"/>
      </rPr>
      <t xml:space="preserve">純貢献額 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予約</t>
    </r>
  </si>
  <si>
    <r>
      <rPr>
        <sz val="11"/>
        <color rgb="FF232A3A"/>
        <rFont val="Noto Sans CJK SC"/>
        <family val="2"/>
      </rPr>
      <t xml:space="preserve">営業日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月</t>
    </r>
  </si>
  <si>
    <t xml:space="preserve">純貢献率</t>
  </si>
  <si>
    <r>
      <rPr>
        <sz val="11"/>
        <color rgb="FF232A3A"/>
        <rFont val="Noto Sans CJK SC"/>
        <family val="2"/>
      </rPr>
      <t xml:space="preserve">為替 </t>
    </r>
    <r>
      <rPr>
        <sz val="11"/>
        <color rgb="FF232A3A"/>
        <rFont val="Arial"/>
        <family val="0"/>
        <charset val="1"/>
      </rPr>
      <t xml:space="preserve">VND/USD</t>
    </r>
  </si>
  <si>
    <t xml:space="preserve">月次 損益（現在の規模）</t>
  </si>
  <si>
    <t xml:space="preserve">損益分岐（黒字化ライン）</t>
  </si>
  <si>
    <t xml:space="preserve">月間予約数</t>
  </si>
  <si>
    <t xml:space="preserve">損益分岐 月間予約数</t>
  </si>
  <si>
    <t xml:space="preserve">月間売上</t>
  </si>
  <si>
    <r>
      <rPr>
        <sz val="11"/>
        <color rgb="FF232A3A"/>
        <rFont val="Noto Sans CJK SC"/>
        <family val="2"/>
      </rPr>
      <t xml:space="preserve">損益分岐 店舗数（現在の件数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日）</t>
    </r>
  </si>
  <si>
    <t xml:space="preserve">月間純貢献</t>
  </si>
  <si>
    <r>
      <rPr>
        <sz val="11"/>
        <color rgb="FF232A3A"/>
        <rFont val="Noto Sans CJK SC"/>
        <family val="2"/>
      </rPr>
      <t xml:space="preserve">損益分岐 件数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日（現在の店舗数）</t>
    </r>
  </si>
  <si>
    <r>
      <rPr>
        <sz val="11"/>
        <color rgb="FF232A3A"/>
        <rFont val="Noto Sans CJK SC"/>
        <family val="2"/>
      </rPr>
      <t xml:space="preserve">固定費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月</t>
    </r>
  </si>
  <si>
    <r>
      <rPr>
        <sz val="11"/>
        <color rgb="FF232A3A"/>
        <rFont val="Noto Sans CJK SC"/>
        <family val="2"/>
      </rPr>
      <t xml:space="preserve">現在の黒字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赤字判定</t>
    </r>
  </si>
  <si>
    <t xml:space="preserve">月次損益</t>
  </si>
  <si>
    <r>
      <rPr>
        <sz val="11"/>
        <color rgb="FF232A3A"/>
        <rFont val="Noto Sans CJK SC"/>
        <family val="2"/>
      </rPr>
      <t xml:space="preserve">黒字化まで不足 予約数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月</t>
    </r>
  </si>
  <si>
    <r>
      <rPr>
        <sz val="11"/>
        <color rgb="FF232A3A"/>
        <rFont val="Noto Sans CJK SC"/>
        <family val="2"/>
      </rPr>
      <t xml:space="preserve">月次損益（</t>
    </r>
    <r>
      <rPr>
        <sz val="11"/>
        <color rgb="FF232A3A"/>
        <rFont val="Arial"/>
        <family val="0"/>
        <charset val="1"/>
      </rPr>
      <t xml:space="preserve">USD</t>
    </r>
    <r>
      <rPr>
        <sz val="11"/>
        <color rgb="FF232A3A"/>
        <rFont val="Noto Sans CJK SC"/>
        <family val="2"/>
      </rPr>
      <t xml:space="preserve">参考）</t>
    </r>
  </si>
  <si>
    <r>
      <rPr>
        <sz val="11"/>
        <color rgb="FF232A3A"/>
        <rFont val="Noto Sans CJK SC"/>
        <family val="2"/>
      </rPr>
      <t xml:space="preserve">粗利率でみた損益（月次損益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売上）</t>
    </r>
  </si>
  <si>
    <r>
      <rPr>
        <b val="true"/>
        <sz val="14"/>
        <color rgb="FF1F3864"/>
        <rFont val="Noto Sans CJK SC"/>
        <family val="2"/>
      </rPr>
      <t xml:space="preserve">収益・原価モデル（</t>
    </r>
    <r>
      <rPr>
        <b val="true"/>
        <sz val="14"/>
        <color rgb="FF1F3864"/>
        <rFont val="Arial"/>
        <family val="0"/>
        <charset val="1"/>
      </rPr>
      <t xml:space="preserve">1</t>
    </r>
    <r>
      <rPr>
        <b val="true"/>
        <sz val="14"/>
        <color rgb="FF1F3864"/>
        <rFont val="Noto Sans CJK SC"/>
        <family val="2"/>
      </rPr>
      <t xml:space="preserve">予約あたりの単価と純貢献を算出）</t>
    </r>
  </si>
  <si>
    <r>
      <rPr>
        <sz val="10"/>
        <color rgb="FF697089"/>
        <rFont val="Noto Sans CJK SC"/>
        <family val="2"/>
      </rPr>
      <t xml:space="preserve">黄色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入力。価格は</t>
    </r>
    <r>
      <rPr>
        <sz val="10"/>
        <color rgb="FF697089"/>
        <rFont val="Arial"/>
        <family val="0"/>
        <charset val="1"/>
      </rPr>
      <t xml:space="preserve">price_plans</t>
    </r>
    <r>
      <rPr>
        <sz val="10"/>
        <color rgb="FF697089"/>
        <rFont val="Noto Sans CJK SC"/>
        <family val="2"/>
      </rPr>
      <t xml:space="preserve">（千₫）。構成比の各合計は</t>
    </r>
    <r>
      <rPr>
        <sz val="10"/>
        <color rgb="FF697089"/>
        <rFont val="Arial"/>
        <family val="0"/>
        <charset val="1"/>
      </rPr>
      <t xml:space="preserve">100%</t>
    </r>
    <r>
      <rPr>
        <sz val="10"/>
        <color rgb="FF697089"/>
        <rFont val="Noto Sans CJK SC"/>
        <family val="2"/>
      </rPr>
      <t xml:space="preserve">になるよう入力。</t>
    </r>
  </si>
  <si>
    <r>
      <rPr>
        <b val="true"/>
        <sz val="12"/>
        <color rgb="FF1F3864"/>
        <rFont val="Noto Sans CJK SC"/>
        <family val="2"/>
      </rPr>
      <t xml:space="preserve">① 価格表（</t>
    </r>
    <r>
      <rPr>
        <b val="true"/>
        <sz val="12"/>
        <color rgb="FF1F3864"/>
        <rFont val="Arial"/>
        <family val="0"/>
        <charset val="1"/>
      </rPr>
      <t xml:space="preserve">price_plans</t>
    </r>
    <r>
      <rPr>
        <b val="true"/>
        <sz val="12"/>
        <color rgb="FF1F3864"/>
        <rFont val="Noto Sans CJK SC"/>
        <family val="2"/>
      </rPr>
      <t xml:space="preserve">・₫／</t>
    </r>
    <r>
      <rPr>
        <b val="true"/>
        <sz val="12"/>
        <color rgb="FF1F3864"/>
        <rFont val="Arial"/>
        <family val="0"/>
        <charset val="1"/>
      </rPr>
      <t xml:space="preserve">1</t>
    </r>
    <r>
      <rPr>
        <b val="true"/>
        <sz val="12"/>
        <color rgb="FF1F3864"/>
        <rFont val="Noto Sans CJK SC"/>
        <family val="2"/>
      </rPr>
      <t xml:space="preserve">個）</t>
    </r>
  </si>
  <si>
    <t xml:space="preserve">サイズ ＼ プラン</t>
  </si>
  <si>
    <t xml:space="preserve">3h</t>
  </si>
  <si>
    <t xml:space="preserve">6h</t>
  </si>
  <si>
    <t xml:space="preserve">12h</t>
  </si>
  <si>
    <t xml:space="preserve">S</t>
  </si>
  <si>
    <t xml:space="preserve">M</t>
  </si>
  <si>
    <t xml:space="preserve">L</t>
  </si>
  <si>
    <r>
      <rPr>
        <b val="true"/>
        <sz val="12"/>
        <color rgb="FF1F3864"/>
        <rFont val="Noto Sans CJK SC"/>
        <family val="2"/>
      </rPr>
      <t xml:space="preserve">② サイズ構成比（合計</t>
    </r>
    <r>
      <rPr>
        <b val="true"/>
        <sz val="12"/>
        <color rgb="FF1F3864"/>
        <rFont val="Arial"/>
        <family val="0"/>
        <charset val="1"/>
      </rPr>
      <t xml:space="preserve">100%</t>
    </r>
    <r>
      <rPr>
        <b val="true"/>
        <sz val="12"/>
        <color rgb="FF1F3864"/>
        <rFont val="Noto Sans CJK SC"/>
        <family val="2"/>
      </rPr>
      <t xml:space="preserve">）</t>
    </r>
  </si>
  <si>
    <r>
      <rPr>
        <b val="true"/>
        <sz val="12"/>
        <color rgb="FF1F3864"/>
        <rFont val="Noto Sans CJK SC"/>
        <family val="2"/>
      </rPr>
      <t xml:space="preserve">③ プラン構成比（合計</t>
    </r>
    <r>
      <rPr>
        <b val="true"/>
        <sz val="12"/>
        <color rgb="FF1F3864"/>
        <rFont val="Arial"/>
        <family val="0"/>
        <charset val="1"/>
      </rPr>
      <t xml:space="preserve">100%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</si>
  <si>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サイズ</t>
  </si>
  <si>
    <t xml:space="preserve">構成比</t>
  </si>
  <si>
    <t xml:space="preserve">プラン</t>
  </si>
  <si>
    <t xml:space="preserve">合計</t>
  </si>
  <si>
    <t xml:space="preserve">④ 加重平均（自動計算）</t>
  </si>
  <si>
    <r>
      <rPr>
        <sz val="11"/>
        <color rgb="FF232A3A"/>
        <rFont val="Noto Sans CJK SC"/>
        <family val="2"/>
      </rPr>
      <t xml:space="preserve">加重平均単価 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個（サイズ</t>
    </r>
    <r>
      <rPr>
        <sz val="11"/>
        <color rgb="FF232A3A"/>
        <rFont val="Arial"/>
        <family val="0"/>
        <charset val="1"/>
      </rPr>
      <t xml:space="preserve">×</t>
    </r>
    <r>
      <rPr>
        <sz val="11"/>
        <color rgb="FF232A3A"/>
        <rFont val="Noto Sans CJK SC"/>
        <family val="2"/>
      </rPr>
      <t xml:space="preserve">プラン）</t>
    </r>
  </si>
  <si>
    <r>
      <rPr>
        <sz val="11"/>
        <color rgb="FF232A3A"/>
        <rFont val="Noto Sans CJK SC"/>
        <family val="2"/>
      </rPr>
      <t xml:space="preserve">平均 個数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予約</t>
    </r>
  </si>
  <si>
    <r>
      <rPr>
        <sz val="11"/>
        <color rgb="FF232A3A"/>
        <rFont val="Noto Sans CJK SC"/>
        <family val="2"/>
      </rPr>
      <t xml:space="preserve">平均客単価 </t>
    </r>
    <r>
      <rPr>
        <sz val="11"/>
        <color rgb="FF232A3A"/>
        <rFont val="Arial"/>
        <family val="0"/>
        <charset val="1"/>
      </rPr>
      <t xml:space="preserve">ARPB /</t>
    </r>
    <r>
      <rPr>
        <sz val="11"/>
        <color rgb="FF232A3A"/>
        <rFont val="Noto Sans CJK SC"/>
        <family val="2"/>
      </rPr>
      <t xml:space="preserve">予約（</t>
    </r>
    <r>
      <rPr>
        <sz val="11"/>
        <color rgb="FF232A3A"/>
        <rFont val="Arial"/>
        <family val="0"/>
        <charset val="1"/>
      </rPr>
      <t xml:space="preserve">=</t>
    </r>
    <r>
      <rPr>
        <sz val="11"/>
        <color rgb="FF232A3A"/>
        <rFont val="Noto Sans CJK SC"/>
        <family val="2"/>
      </rPr>
      <t xml:space="preserve">加重単価</t>
    </r>
    <r>
      <rPr>
        <sz val="11"/>
        <color rgb="FF232A3A"/>
        <rFont val="Arial"/>
        <family val="0"/>
        <charset val="1"/>
      </rPr>
      <t xml:space="preserve">×</t>
    </r>
    <r>
      <rPr>
        <sz val="11"/>
        <color rgb="FF232A3A"/>
        <rFont val="Noto Sans CJK SC"/>
        <family val="2"/>
      </rPr>
      <t xml:space="preserve">個数）</t>
    </r>
  </si>
  <si>
    <t xml:space="preserve">⑤ 変動原価（対売上）</t>
  </si>
  <si>
    <t xml:space="preserve">店舗委託料</t>
  </si>
  <si>
    <t xml:space="preserve">決済手数料</t>
  </si>
  <si>
    <t xml:space="preserve">保険料</t>
  </si>
  <si>
    <t xml:space="preserve">システム配賦</t>
  </si>
  <si>
    <t xml:space="preserve">控除合計率</t>
  </si>
  <si>
    <r>
      <rPr>
        <sz val="11"/>
        <color rgb="FF232A3A"/>
        <rFont val="Noto Sans CJK SC"/>
        <family val="2"/>
      </rPr>
      <t xml:space="preserve">粗貢献率（</t>
    </r>
    <r>
      <rPr>
        <sz val="11"/>
        <color rgb="FF232A3A"/>
        <rFont val="Arial"/>
        <family val="0"/>
        <charset val="1"/>
      </rPr>
      <t xml:space="preserve">1−</t>
    </r>
    <r>
      <rPr>
        <sz val="11"/>
        <color rgb="FF232A3A"/>
        <rFont val="Noto Sans CJK SC"/>
        <family val="2"/>
      </rPr>
      <t xml:space="preserve">控除）</t>
    </r>
  </si>
  <si>
    <t xml:space="preserve">⑥ チャネル構成と集客手数料</t>
  </si>
  <si>
    <t xml:space="preserve">チャネル</t>
  </si>
  <si>
    <t xml:space="preserve">集客手数料率</t>
  </si>
  <si>
    <t xml:space="preserve">加重手数料</t>
  </si>
  <si>
    <r>
      <rPr>
        <sz val="11"/>
        <color rgb="FF232A3A"/>
        <rFont val="Noto Sans CJK SC"/>
        <family val="2"/>
      </rPr>
      <t xml:space="preserve">直販（自然流入</t>
    </r>
    <r>
      <rPr>
        <sz val="11"/>
        <color rgb="FF232A3A"/>
        <rFont val="Arial"/>
        <family val="0"/>
        <charset val="1"/>
      </rPr>
      <t xml:space="preserve">/SEO</t>
    </r>
    <r>
      <rPr>
        <sz val="11"/>
        <color rgb="FF232A3A"/>
        <rFont val="Noto Sans CJK SC"/>
        <family val="2"/>
      </rPr>
      <t xml:space="preserve">）</t>
    </r>
  </si>
  <si>
    <r>
      <rPr>
        <sz val="11"/>
        <color rgb="FF232A3A"/>
        <rFont val="Noto Sans CJK SC"/>
        <family val="2"/>
      </rPr>
      <t xml:space="preserve">ホテル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バス紹介</t>
    </r>
    <r>
      <rPr>
        <sz val="11"/>
        <color rgb="FF232A3A"/>
        <rFont val="Arial"/>
        <family val="0"/>
        <charset val="1"/>
      </rPr>
      <t xml:space="preserve">(B2B2C)</t>
    </r>
  </si>
  <si>
    <t xml:space="preserve">OTA(Klook/KKday)</t>
  </si>
  <si>
    <r>
      <rPr>
        <b val="true"/>
        <sz val="11"/>
        <color rgb="FF232A3A"/>
        <rFont val="Noto Sans CJK SC"/>
        <family val="2"/>
      </rPr>
      <t xml:space="preserve">合計 </t>
    </r>
    <r>
      <rPr>
        <b val="true"/>
        <sz val="11"/>
        <color rgb="FF232A3A"/>
        <rFont val="Arial"/>
        <family val="0"/>
        <charset val="1"/>
      </rPr>
      <t xml:space="preserve">/ </t>
    </r>
    <r>
      <rPr>
        <b val="true"/>
        <sz val="11"/>
        <color rgb="FF232A3A"/>
        <rFont val="Noto Sans CJK SC"/>
        <family val="2"/>
      </rPr>
      <t xml:space="preserve">加重集客手数料率</t>
    </r>
  </si>
  <si>
    <r>
      <rPr>
        <b val="true"/>
        <sz val="12"/>
        <color rgb="FF1F3864"/>
        <rFont val="Arial"/>
        <family val="0"/>
        <charset val="1"/>
      </rPr>
      <t xml:space="preserve">⑦ 1</t>
    </r>
    <r>
      <rPr>
        <b val="true"/>
        <sz val="12"/>
        <color rgb="FF1F3864"/>
        <rFont val="Noto Sans CJK SC"/>
        <family val="2"/>
      </rPr>
      <t xml:space="preserve">予約あたり純貢献（最終）</t>
    </r>
  </si>
  <si>
    <r>
      <rPr>
        <sz val="11"/>
        <color rgb="FF232A3A"/>
        <rFont val="Noto Sans CJK SC"/>
        <family val="2"/>
      </rPr>
      <t xml:space="preserve">粗貢献額 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予約（</t>
    </r>
    <r>
      <rPr>
        <sz val="11"/>
        <color rgb="FF232A3A"/>
        <rFont val="Arial"/>
        <family val="0"/>
        <charset val="1"/>
      </rPr>
      <t xml:space="preserve">ARPB×</t>
    </r>
    <r>
      <rPr>
        <sz val="11"/>
        <color rgb="FF232A3A"/>
        <rFont val="Noto Sans CJK SC"/>
        <family val="2"/>
      </rPr>
      <t xml:space="preserve">粗貢献率）</t>
    </r>
  </si>
  <si>
    <r>
      <rPr>
        <sz val="11"/>
        <color rgb="FF232A3A"/>
        <rFont val="Noto Sans CJK SC"/>
        <family val="2"/>
      </rPr>
      <t xml:space="preserve">集客手数料 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予約（</t>
    </r>
    <r>
      <rPr>
        <sz val="11"/>
        <color rgb="FF232A3A"/>
        <rFont val="Arial"/>
        <family val="0"/>
        <charset val="1"/>
      </rPr>
      <t xml:space="preserve">ARPB×</t>
    </r>
    <r>
      <rPr>
        <sz val="11"/>
        <color rgb="FF232A3A"/>
        <rFont val="Noto Sans CJK SC"/>
        <family val="2"/>
      </rPr>
      <t xml:space="preserve">加重手数料率）</t>
    </r>
  </si>
  <si>
    <r>
      <rPr>
        <b val="true"/>
        <sz val="11"/>
        <color rgb="FF232A3A"/>
        <rFont val="Noto Sans CJK SC"/>
        <family val="2"/>
      </rPr>
      <t xml:space="preserve">純貢献額 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予約</t>
    </r>
  </si>
  <si>
    <r>
      <rPr>
        <sz val="11"/>
        <color rgb="FF232A3A"/>
        <rFont val="Noto Sans CJK SC"/>
        <family val="2"/>
      </rPr>
      <t xml:space="preserve">純貢献率（対</t>
    </r>
    <r>
      <rPr>
        <sz val="11"/>
        <color rgb="FF232A3A"/>
        <rFont val="Arial"/>
        <family val="0"/>
        <charset val="1"/>
      </rPr>
      <t xml:space="preserve">ARPB</t>
    </r>
    <r>
      <rPr>
        <sz val="11"/>
        <color rgb="FF232A3A"/>
        <rFont val="Noto Sans CJK SC"/>
        <family val="2"/>
      </rPr>
      <t xml:space="preserve">）</t>
    </r>
  </si>
  <si>
    <r>
      <rPr>
        <b val="true"/>
        <sz val="14"/>
        <color rgb="FF1F3864"/>
        <rFont val="Noto Sans CJK SC"/>
        <family val="2"/>
      </rPr>
      <t xml:space="preserve">月次固定費（人員</t>
    </r>
    <r>
      <rPr>
        <b val="true"/>
        <sz val="14"/>
        <color rgb="FF1F3864"/>
        <rFont val="Arial"/>
        <family val="0"/>
        <charset val="1"/>
      </rPr>
      <t xml:space="preserve">×</t>
    </r>
    <r>
      <rPr>
        <b val="true"/>
        <sz val="14"/>
        <color rgb="FF1F3864"/>
        <rFont val="Noto Sans CJK SC"/>
        <family val="2"/>
      </rPr>
      <t xml:space="preserve">月給＋インフラ）</t>
    </r>
  </si>
  <si>
    <r>
      <rPr>
        <sz val="10"/>
        <color rgb="FF697089"/>
        <rFont val="Noto Sans CJK SC"/>
        <family val="2"/>
      </rPr>
      <t xml:space="preserve">黄色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入力。人数と月給を変えると小計・合計が再計算されます。</t>
    </r>
  </si>
  <si>
    <t xml:space="preserve">人件費</t>
  </si>
  <si>
    <t xml:space="preserve">役割</t>
  </si>
  <si>
    <t xml:space="preserve">人数</t>
  </si>
  <si>
    <r>
      <rPr>
        <b val="true"/>
        <sz val="11"/>
        <color rgb="FF232A3A"/>
        <rFont val="Noto Sans CJK SC"/>
        <family val="2"/>
      </rPr>
      <t xml:space="preserve">月給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人</t>
    </r>
    <r>
      <rPr>
        <b val="true"/>
        <sz val="11"/>
        <color rgb="FF232A3A"/>
        <rFont val="Arial"/>
        <family val="0"/>
        <charset val="1"/>
      </rPr>
      <t xml:space="preserve">(₫)</t>
    </r>
  </si>
  <si>
    <r>
      <rPr>
        <b val="true"/>
        <sz val="11"/>
        <color rgb="FF232A3A"/>
        <rFont val="Noto Sans CJK SC"/>
        <family val="2"/>
      </rPr>
      <t xml:space="preserve">小計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月</t>
    </r>
    <r>
      <rPr>
        <b val="true"/>
        <sz val="11"/>
        <color rgb="FF232A3A"/>
        <rFont val="Arial"/>
        <family val="0"/>
        <charset val="1"/>
      </rPr>
      <t xml:space="preserve">(₫)</t>
    </r>
  </si>
  <si>
    <t xml:space="preserve">備考</t>
  </si>
  <si>
    <r>
      <rPr>
        <sz val="11"/>
        <color rgb="FF232A3A"/>
        <rFont val="Noto Sans CJK SC"/>
        <family val="2"/>
      </rPr>
      <t xml:space="preserve">多言語</t>
    </r>
    <r>
      <rPr>
        <sz val="11"/>
        <color rgb="FF232A3A"/>
        <rFont val="Arial"/>
        <family val="0"/>
        <charset val="1"/>
      </rPr>
      <t xml:space="preserve">CS</t>
    </r>
  </si>
  <si>
    <r>
      <rPr>
        <sz val="10"/>
        <color rgb="FF697089"/>
        <rFont val="Noto Sans CJK SC"/>
        <family val="2"/>
      </rPr>
      <t xml:space="preserve">日英越＋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韓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中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。即応対応</t>
    </r>
  </si>
  <si>
    <t xml:space="preserve">店舗管理・営業</t>
  </si>
  <si>
    <t xml:space="preserve">巡回・研修・新規開拓</t>
  </si>
  <si>
    <r>
      <rPr>
        <sz val="11"/>
        <color rgb="FF232A3A"/>
        <rFont val="Noto Sans CJK SC"/>
        <family val="2"/>
      </rPr>
      <t xml:space="preserve">オペ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精算・保険事務</t>
    </r>
  </si>
  <si>
    <t xml:space="preserve">精算突合・クレーム・保険請求</t>
  </si>
  <si>
    <r>
      <rPr>
        <sz val="11"/>
        <color rgb="FF232A3A"/>
        <rFont val="Noto Sans CJK SC"/>
        <family val="2"/>
      </rPr>
      <t xml:space="preserve">マネージャー</t>
    </r>
    <r>
      <rPr>
        <sz val="11"/>
        <color rgb="FF232A3A"/>
        <rFont val="Arial"/>
        <family val="0"/>
        <charset val="1"/>
      </rPr>
      <t xml:space="preserve">/PM</t>
    </r>
  </si>
  <si>
    <r>
      <rPr>
        <sz val="10"/>
        <color rgb="FF697089"/>
        <rFont val="Noto Sans CJK SC"/>
        <family val="2"/>
      </rPr>
      <t xml:space="preserve">兼任可なら</t>
    </r>
    <r>
      <rPr>
        <sz val="10"/>
        <color rgb="FF697089"/>
        <rFont val="Arial"/>
        <family val="0"/>
        <charset val="1"/>
      </rPr>
      <t xml:space="preserve">PoC</t>
    </r>
    <r>
      <rPr>
        <sz val="10"/>
        <color rgb="FF697089"/>
        <rFont val="Noto Sans CJK SC"/>
        <family val="2"/>
      </rPr>
      <t xml:space="preserve">は</t>
    </r>
    <r>
      <rPr>
        <sz val="10"/>
        <color rgb="FF697089"/>
        <rFont val="Arial"/>
        <family val="0"/>
        <charset val="1"/>
      </rPr>
      <t xml:space="preserve">0.5</t>
    </r>
    <r>
      <rPr>
        <sz val="10"/>
        <color rgb="FF697089"/>
        <rFont val="Noto Sans CJK SC"/>
        <family val="2"/>
      </rPr>
      <t xml:space="preserve">でも可</t>
    </r>
  </si>
  <si>
    <r>
      <rPr>
        <b val="true"/>
        <sz val="11"/>
        <color rgb="FF232A3A"/>
        <rFont val="Noto Sans CJK SC"/>
        <family val="2"/>
      </rPr>
      <t xml:space="preserve">人件費 小計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月</t>
    </r>
  </si>
  <si>
    <t xml:space="preserve">インフラ・その他</t>
  </si>
  <si>
    <t xml:space="preserve">項目</t>
  </si>
  <si>
    <r>
      <rPr>
        <b val="true"/>
        <sz val="11"/>
        <color rgb="FF232A3A"/>
        <rFont val="Noto Sans CJK SC"/>
        <family val="2"/>
      </rPr>
      <t xml:space="preserve">月額</t>
    </r>
    <r>
      <rPr>
        <b val="true"/>
        <sz val="11"/>
        <color rgb="FF232A3A"/>
        <rFont val="Arial"/>
        <family val="0"/>
        <charset val="1"/>
      </rPr>
      <t xml:space="preserve">(₫)</t>
    </r>
  </si>
  <si>
    <r>
      <rPr>
        <sz val="11"/>
        <color rgb="FF232A3A"/>
        <rFont val="Noto Sans CJK SC"/>
        <family val="2"/>
      </rPr>
      <t xml:space="preserve">システム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インフラ</t>
    </r>
    <r>
      <rPr>
        <sz val="11"/>
        <color rgb="FF232A3A"/>
        <rFont val="Arial"/>
        <family val="0"/>
        <charset val="1"/>
      </rPr>
      <t xml:space="preserve">(Supabase/Vercel/</t>
    </r>
    <r>
      <rPr>
        <sz val="11"/>
        <color rgb="FF232A3A"/>
        <rFont val="Noto Sans CJK SC"/>
        <family val="2"/>
      </rPr>
      <t xml:space="preserve">ドメイン</t>
    </r>
    <r>
      <rPr>
        <sz val="11"/>
        <color rgb="FF232A3A"/>
        <rFont val="Arial"/>
        <family val="0"/>
        <charset val="1"/>
      </rPr>
      <t xml:space="preserve">)</t>
    </r>
  </si>
  <si>
    <t xml:space="preserve">利用量で増減</t>
  </si>
  <si>
    <r>
      <rPr>
        <sz val="11"/>
        <color rgb="FF232A3A"/>
        <rFont val="Arial"/>
        <family val="0"/>
        <charset val="1"/>
      </rPr>
      <t xml:space="preserve">2C2P</t>
    </r>
    <r>
      <rPr>
        <sz val="11"/>
        <color rgb="FF232A3A"/>
        <rFont val="Noto Sans CJK SC"/>
        <family val="2"/>
      </rPr>
      <t xml:space="preserve">固定費・通信</t>
    </r>
  </si>
  <si>
    <t xml:space="preserve">決済の月額固定分</t>
  </si>
  <si>
    <r>
      <rPr>
        <sz val="11"/>
        <color rgb="FF232A3A"/>
        <rFont val="Noto Sans CJK SC"/>
        <family val="2"/>
      </rPr>
      <t xml:space="preserve">会計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税務・その他</t>
    </r>
  </si>
  <si>
    <t xml:space="preserve">記帳・雑費</t>
  </si>
  <si>
    <r>
      <rPr>
        <sz val="11"/>
        <color rgb="FF232A3A"/>
        <rFont val="Noto Sans CJK SC"/>
        <family val="2"/>
      </rPr>
      <t xml:space="preserve">マーケ固定</t>
    </r>
    <r>
      <rPr>
        <sz val="11"/>
        <color rgb="FF232A3A"/>
        <rFont val="Arial"/>
        <family val="0"/>
        <charset val="1"/>
      </rPr>
      <t xml:space="preserve">(SEO/</t>
    </r>
    <r>
      <rPr>
        <sz val="11"/>
        <color rgb="FF232A3A"/>
        <rFont val="Noto Sans CJK SC"/>
        <family val="2"/>
      </rPr>
      <t xml:space="preserve">素材</t>
    </r>
    <r>
      <rPr>
        <sz val="11"/>
        <color rgb="FF232A3A"/>
        <rFont val="Arial"/>
        <family val="0"/>
        <charset val="1"/>
      </rPr>
      <t xml:space="preserve">)</t>
    </r>
  </si>
  <si>
    <t xml:space="preserve">広告変動費はチャネル側で計上</t>
  </si>
  <si>
    <r>
      <rPr>
        <b val="true"/>
        <sz val="11"/>
        <color rgb="FF232A3A"/>
        <rFont val="Noto Sans CJK SC"/>
        <family val="2"/>
      </rPr>
      <t xml:space="preserve">インフラ小計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月</t>
    </r>
  </si>
  <si>
    <r>
      <rPr>
        <b val="true"/>
        <sz val="12"/>
        <color rgb="FF232A3A"/>
        <rFont val="Noto Sans CJK SC"/>
        <family val="2"/>
      </rPr>
      <t xml:space="preserve">固定費合計 </t>
    </r>
    <r>
      <rPr>
        <b val="true"/>
        <sz val="12"/>
        <color rgb="FF232A3A"/>
        <rFont val="Arial"/>
        <family val="0"/>
        <charset val="1"/>
      </rPr>
      <t xml:space="preserve">/</t>
    </r>
    <r>
      <rPr>
        <b val="true"/>
        <sz val="12"/>
        <color rgb="FF232A3A"/>
        <rFont val="Noto Sans CJK SC"/>
        <family val="2"/>
      </rPr>
      <t xml:space="preserve">月</t>
    </r>
  </si>
  <si>
    <t xml:space="preserve">一時費用（初期・参考／損益分岐には非算入）</t>
  </si>
  <si>
    <t xml:space="preserve">初期開発・セットアップ</t>
  </si>
  <si>
    <r>
      <rPr>
        <sz val="10"/>
        <color rgb="FF697089"/>
        <rFont val="Arial"/>
        <family val="0"/>
        <charset val="1"/>
      </rPr>
      <t xml:space="preserve">AI</t>
    </r>
    <r>
      <rPr>
        <sz val="10"/>
        <color rgb="FF697089"/>
        <rFont val="Noto Sans CJK SC"/>
        <family val="2"/>
      </rPr>
      <t xml:space="preserve">開発で圧縮想定。実額を入れる</t>
    </r>
  </si>
  <si>
    <r>
      <rPr>
        <sz val="11"/>
        <color rgb="FF232A3A"/>
        <rFont val="Noto Sans CJK SC"/>
        <family val="2"/>
      </rPr>
      <t xml:space="preserve">店舗什器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タグ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研修 初期</t>
    </r>
  </si>
  <si>
    <r>
      <rPr>
        <sz val="11"/>
        <color rgb="FF232A3A"/>
        <rFont val="Noto Sans CJK SC"/>
        <family val="2"/>
      </rPr>
      <t xml:space="preserve">保証金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契約一時金</t>
    </r>
  </si>
  <si>
    <t xml:space="preserve">一時費用 合計</t>
  </si>
  <si>
    <r>
      <rPr>
        <b val="true"/>
        <sz val="14"/>
        <color rgb="FF1F3864"/>
        <rFont val="Arial"/>
        <family val="0"/>
        <charset val="1"/>
      </rPr>
      <t xml:space="preserve">24</t>
    </r>
    <r>
      <rPr>
        <b val="true"/>
        <sz val="14"/>
        <color rgb="FF1F3864"/>
        <rFont val="Noto Sans CJK SC"/>
        <family val="2"/>
      </rPr>
      <t xml:space="preserve">ヶ月 キャッシュフロー（展開スケジュール→黒字化月・必要資金）</t>
    </r>
  </si>
  <si>
    <r>
      <rPr>
        <sz val="10"/>
        <color rgb="FF697089"/>
        <rFont val="Noto Sans CJK SC"/>
        <family val="2"/>
      </rPr>
      <t xml:space="preserve">黄色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入力（店舗数・件数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日の推移）。営業日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月と純貢献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固定費は他タブ連動。固定費は当面フラット前提（拡大時は固定費タブで増員）。</t>
    </r>
  </si>
  <si>
    <t xml:space="preserve">月</t>
  </si>
  <si>
    <t xml:space="preserve">稼働店舗</t>
  </si>
  <si>
    <r>
      <rPr>
        <b val="true"/>
        <sz val="11"/>
        <color rgb="FF232A3A"/>
        <rFont val="Noto Sans CJK SC"/>
        <family val="2"/>
      </rPr>
      <t xml:space="preserve">件数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日</t>
    </r>
    <r>
      <rPr>
        <b val="true"/>
        <sz val="11"/>
        <color rgb="FF232A3A"/>
        <rFont val="Arial"/>
        <family val="0"/>
        <charset val="1"/>
      </rPr>
      <t xml:space="preserve">·</t>
    </r>
    <r>
      <rPr>
        <b val="true"/>
        <sz val="11"/>
        <color rgb="FF232A3A"/>
        <rFont val="Noto Sans CJK SC"/>
        <family val="2"/>
      </rPr>
      <t xml:space="preserve">店</t>
    </r>
  </si>
  <si>
    <t xml:space="preserve">月間予約</t>
  </si>
  <si>
    <t xml:space="preserve">固定費</t>
  </si>
  <si>
    <t xml:space="preserve">累計現金</t>
  </si>
  <si>
    <r>
      <rPr>
        <b val="true"/>
        <sz val="11"/>
        <color rgb="FF232A3A"/>
        <rFont val="Noto Sans CJK SC"/>
        <family val="2"/>
      </rPr>
      <t xml:space="preserve">黒字月</t>
    </r>
    <r>
      <rPr>
        <b val="true"/>
        <sz val="11"/>
        <color rgb="FF232A3A"/>
        <rFont val="Arial"/>
        <family val="0"/>
        <charset val="1"/>
      </rPr>
      <t xml:space="preserve">?</t>
    </r>
  </si>
  <si>
    <r>
      <rPr>
        <b val="true"/>
        <sz val="11"/>
        <color rgb="FF232A3A"/>
        <rFont val="Noto Sans CJK SC"/>
        <family val="2"/>
      </rPr>
      <t xml:space="preserve">現金</t>
    </r>
    <r>
      <rPr>
        <b val="true"/>
        <sz val="11"/>
        <color rgb="FF232A3A"/>
        <rFont val="Arial"/>
        <family val="0"/>
        <charset val="1"/>
      </rPr>
      <t xml:space="preserve">+</t>
    </r>
    <r>
      <rPr>
        <b val="true"/>
        <sz val="11"/>
        <color rgb="FF232A3A"/>
        <rFont val="Noto Sans CJK SC"/>
        <family val="2"/>
      </rPr>
      <t xml:space="preserve">月</t>
    </r>
    <r>
      <rPr>
        <b val="true"/>
        <sz val="11"/>
        <color rgb="FF232A3A"/>
        <rFont val="Arial"/>
        <family val="0"/>
        <charset val="1"/>
      </rPr>
      <t xml:space="preserve">?</t>
    </r>
  </si>
  <si>
    <t xml:space="preserve">サマリー</t>
  </si>
  <si>
    <r>
      <rPr>
        <sz val="11"/>
        <color rgb="FF232A3A"/>
        <rFont val="Noto Sans CJK SC"/>
        <family val="2"/>
      </rPr>
      <t xml:space="preserve">営業黒字化 月（月次損益が初めて≥</t>
    </r>
    <r>
      <rPr>
        <sz val="11"/>
        <color rgb="FF232A3A"/>
        <rFont val="Arial"/>
        <family val="0"/>
        <charset val="1"/>
      </rPr>
      <t xml:space="preserve">0</t>
    </r>
    <r>
      <rPr>
        <sz val="11"/>
        <color rgb="FF232A3A"/>
        <rFont val="Noto Sans CJK SC"/>
        <family val="2"/>
      </rPr>
      <t xml:space="preserve">）</t>
    </r>
  </si>
  <si>
    <t xml:space="preserve">累計現金プラス転換 月</t>
  </si>
  <si>
    <t xml:space="preserve">最大必要運転資金（累計現金の最深マイナス）</t>
  </si>
  <si>
    <r>
      <rPr>
        <sz val="11"/>
        <color rgb="FF232A3A"/>
        <rFont val="Arial"/>
        <family val="0"/>
        <charset val="1"/>
      </rPr>
      <t xml:space="preserve">24</t>
    </r>
    <r>
      <rPr>
        <sz val="11"/>
        <color rgb="FF232A3A"/>
        <rFont val="Noto Sans CJK SC"/>
        <family val="2"/>
      </rPr>
      <t xml:space="preserve">ヶ月末 累計現金</t>
    </r>
  </si>
  <si>
    <r>
      <rPr>
        <sz val="11"/>
        <color rgb="FF232A3A"/>
        <rFont val="Arial"/>
        <family val="0"/>
        <charset val="1"/>
      </rPr>
      <t xml:space="preserve">24</t>
    </r>
    <r>
      <rPr>
        <sz val="11"/>
        <color rgb="FF232A3A"/>
        <rFont val="Noto Sans CJK SC"/>
        <family val="2"/>
      </rPr>
      <t xml:space="preserve">ヶ月末 稼働店舗 </t>
    </r>
    <r>
      <rPr>
        <sz val="11"/>
        <color rgb="FF232A3A"/>
        <rFont val="Arial"/>
        <family val="0"/>
        <charset val="1"/>
      </rPr>
      <t xml:space="preserve">/ </t>
    </r>
    <r>
      <rPr>
        <sz val="11"/>
        <color rgb="FF232A3A"/>
        <rFont val="Noto Sans CJK SC"/>
        <family val="2"/>
      </rPr>
      <t xml:space="preserve">月次損益</t>
    </r>
  </si>
  <si>
    <r>
      <rPr>
        <sz val="10"/>
        <color rgb="FF697089"/>
        <rFont val="Noto Sans CJK SC"/>
        <family val="2"/>
      </rPr>
      <t xml:space="preserve">注：固定費フラット前提。拡大に伴う</t>
    </r>
    <r>
      <rPr>
        <sz val="10"/>
        <color rgb="FF697089"/>
        <rFont val="Arial"/>
        <family val="0"/>
        <charset val="1"/>
      </rPr>
      <t xml:space="preserve">CS/</t>
    </r>
    <r>
      <rPr>
        <sz val="10"/>
        <color rgb="FF697089"/>
        <rFont val="Noto Sans CJK SC"/>
        <family val="2"/>
      </rPr>
      <t xml:space="preserve">巡回増員は固定費タブで反映を。</t>
    </r>
  </si>
  <si>
    <t xml:space="preserve">感度分析（月次損益 ₫）</t>
  </si>
  <si>
    <r>
      <rPr>
        <sz val="10"/>
        <color rgb="FF697089"/>
        <rFont val="Noto Sans CJK SC"/>
        <family val="2"/>
      </rPr>
      <t xml:space="preserve">前提（純貢献額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予約・固定費・営業日）は他タブ連動。赤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赤字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緑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黒字。</t>
    </r>
  </si>
  <si>
    <r>
      <rPr>
        <b val="true"/>
        <sz val="12"/>
        <color rgb="FF1F3864"/>
        <rFont val="Noto Sans CJK SC"/>
        <family val="2"/>
      </rPr>
      <t xml:space="preserve">表</t>
    </r>
    <r>
      <rPr>
        <b val="true"/>
        <sz val="12"/>
        <color rgb="FF1F3864"/>
        <rFont val="Arial"/>
        <family val="0"/>
        <charset val="1"/>
      </rPr>
      <t xml:space="preserve">1: </t>
    </r>
    <r>
      <rPr>
        <b val="true"/>
        <sz val="12"/>
        <color rgb="FF1F3864"/>
        <rFont val="Noto Sans CJK SC"/>
        <family val="2"/>
      </rPr>
      <t xml:space="preserve">店舗数（列）</t>
    </r>
    <r>
      <rPr>
        <b val="true"/>
        <sz val="12"/>
        <color rgb="FF1F3864"/>
        <rFont val="Arial"/>
        <family val="0"/>
        <charset val="1"/>
      </rPr>
      <t xml:space="preserve">× </t>
    </r>
    <r>
      <rPr>
        <b val="true"/>
        <sz val="12"/>
        <color rgb="FF1F3864"/>
        <rFont val="Noto Sans CJK SC"/>
        <family val="2"/>
      </rPr>
      <t xml:space="preserve">件数</t>
    </r>
    <r>
      <rPr>
        <b val="true"/>
        <sz val="12"/>
        <color rgb="FF1F3864"/>
        <rFont val="Arial"/>
        <family val="0"/>
        <charset val="1"/>
      </rPr>
      <t xml:space="preserve">/</t>
    </r>
    <r>
      <rPr>
        <b val="true"/>
        <sz val="12"/>
        <color rgb="FF1F3864"/>
        <rFont val="Noto Sans CJK SC"/>
        <family val="2"/>
      </rPr>
      <t xml:space="preserve">日（行）</t>
    </r>
  </si>
  <si>
    <r>
      <rPr>
        <b val="true"/>
        <sz val="11"/>
        <color rgb="FF232A3A"/>
        <rFont val="Noto Sans CJK SC"/>
        <family val="2"/>
      </rPr>
      <t xml:space="preserve">件数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日 ＼ 店舗数</t>
    </r>
  </si>
  <si>
    <r>
      <rPr>
        <b val="true"/>
        <sz val="12"/>
        <color rgb="FF1F3864"/>
        <rFont val="Noto Sans CJK SC"/>
        <family val="2"/>
      </rPr>
      <t xml:space="preserve">表</t>
    </r>
    <r>
      <rPr>
        <b val="true"/>
        <sz val="12"/>
        <color rgb="FF1F3864"/>
        <rFont val="Arial"/>
        <family val="0"/>
        <charset val="1"/>
      </rPr>
      <t xml:space="preserve">2: </t>
    </r>
    <r>
      <rPr>
        <b val="true"/>
        <sz val="12"/>
        <color rgb="FF1F3864"/>
        <rFont val="Noto Sans CJK SC"/>
        <family val="2"/>
      </rPr>
      <t xml:space="preserve">平均客単価（列）</t>
    </r>
    <r>
      <rPr>
        <b val="true"/>
        <sz val="12"/>
        <color rgb="FF1F3864"/>
        <rFont val="Arial"/>
        <family val="0"/>
        <charset val="1"/>
      </rPr>
      <t xml:space="preserve">× </t>
    </r>
    <r>
      <rPr>
        <b val="true"/>
        <sz val="12"/>
        <color rgb="FF1F3864"/>
        <rFont val="Noto Sans CJK SC"/>
        <family val="2"/>
      </rPr>
      <t xml:space="preserve">固定費倍率（行）  ※現在の店舗数</t>
    </r>
    <r>
      <rPr>
        <b val="true"/>
        <sz val="12"/>
        <color rgb="FF1F3864"/>
        <rFont val="Arial"/>
        <family val="0"/>
        <charset val="1"/>
      </rPr>
      <t xml:space="preserve">×</t>
    </r>
    <r>
      <rPr>
        <b val="true"/>
        <sz val="12"/>
        <color rgb="FF1F3864"/>
        <rFont val="Noto Sans CJK SC"/>
        <family val="2"/>
      </rPr>
      <t xml:space="preserve">件数</t>
    </r>
    <r>
      <rPr>
        <b val="true"/>
        <sz val="12"/>
        <color rgb="FF1F3864"/>
        <rFont val="Arial"/>
        <family val="0"/>
        <charset val="1"/>
      </rPr>
      <t xml:space="preserve">/</t>
    </r>
    <r>
      <rPr>
        <b val="true"/>
        <sz val="12"/>
        <color rgb="FF1F3864"/>
        <rFont val="Noto Sans CJK SC"/>
        <family val="2"/>
      </rPr>
      <t xml:space="preserve">日で</t>
    </r>
  </si>
  <si>
    <t xml:space="preserve">固定費倍率 ＼ 客単価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</si>
</sst>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&quot; ₫&quot;"/>
    <numFmt numFmtId="167" formatCode="#,##0.0"/>
    <numFmt numFmtId="168" formatCode="0.0%"/>
    <numFmt numFmtId="169" formatCode="\$#,##0"/>
    <numFmt numFmtId="170" formatCode="0.0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sz val="11"/>
      <color rgb="FF232A3A"/>
      <name val="Arial"/>
      <family val="0"/>
      <charset val="1"/>
    </font>
    <font>
      <sz val="11"/>
      <color rgb="FF232A3A"/>
      <name val="Noto Sans CJK SC"/>
      <family val="2"/>
    </font>
    <font>
      <b val="true"/>
      <sz val="12"/>
      <color rgb="FF1F3864"/>
      <name val="Noto Sans CJK SC"/>
      <family val="2"/>
    </font>
    <font>
      <sz val="10"/>
      <color rgb="FF697089"/>
      <name val="Noto Sans CJK SC"/>
      <family val="2"/>
    </font>
    <font>
      <sz val="10"/>
      <color rgb="FF69708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1A9E5C"/>
      <name val="Arial"/>
      <family val="0"/>
      <charset val="1"/>
    </font>
    <font>
      <sz val="11"/>
      <color rgb="FF697089"/>
      <name val="Arial"/>
      <family val="0"/>
      <charset val="1"/>
    </font>
    <font>
      <b val="true"/>
      <sz val="11"/>
      <color rgb="FF232A3A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color rgb="FF232A3A"/>
      <name val="Noto Sans CJK SC"/>
      <family val="2"/>
    </font>
    <font>
      <b val="true"/>
      <sz val="12"/>
      <color rgb="FF232A3A"/>
      <name val="Noto Sans CJK SC"/>
      <family val="2"/>
    </font>
    <font>
      <b val="true"/>
      <sz val="12"/>
      <color rgb="FF232A3A"/>
      <name val="Arial"/>
      <family val="0"/>
      <charset val="1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2F9"/>
        <bgColor rgb="FFDBF3E4"/>
      </patternFill>
    </fill>
    <fill>
      <patternFill patternType="solid">
        <fgColor rgb="FFFFF3CD"/>
        <bgColor rgb="FFEEF2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BD5D5"/>
        </patternFill>
      </fill>
    </dxf>
    <dxf>
      <fill>
        <patternFill>
          <bgColor rgb="FFDBF3E4"/>
        </patternFill>
      </fill>
    </dxf>
  </dxfs>
  <colors>
    <indexedColors>
      <rgbColor rgb="FF000000"/>
      <rgbColor rgb="FFEEF2F9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D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F3E4"/>
      <rgbColor rgb="FFFFFF99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97089"/>
      <rgbColor rgb="FF969696"/>
      <rgbColor rgb="FF1F3864"/>
      <rgbColor rgb="FF1A9E5C"/>
      <rgbColor rgb="FF003300"/>
      <rgbColor rgb="FF333300"/>
      <rgbColor rgb="FF993300"/>
      <rgbColor rgb="FF993366"/>
      <rgbColor rgb="FF333399"/>
      <rgbColor rgb="FF23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9.4" hidden="false" customHeight="false" outlineLevel="0" collapsed="false">
      <c r="A5" s="4" t="s">
        <v>2</v>
      </c>
    </row>
    <row r="6" customFormat="false" ht="17.15" hidden="false" customHeight="false" outlineLevel="0" collapsed="false">
      <c r="A6" s="2" t="s">
        <v>3</v>
      </c>
    </row>
    <row r="7" customFormat="false" ht="32.8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32.8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9.4" hidden="false" customHeight="false" outlineLevel="0" collapsed="false">
      <c r="A12" s="4" t="s">
        <v>8</v>
      </c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29.85" hidden="false" customHeight="false" outlineLevel="0" collapsed="false">
      <c r="A17" s="5" t="s">
        <v>12</v>
      </c>
    </row>
    <row r="18" customFormat="false" ht="15" hidden="false" customHeight="false" outlineLevel="0" collapsed="false">
      <c r="A1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8.55" hidden="false" customHeight="false" outlineLevel="0" collapsed="false">
      <c r="A1" s="6" t="s">
        <v>14</v>
      </c>
    </row>
    <row r="2" customFormat="false" ht="15" hidden="false" customHeight="false" outlineLevel="0" collapsed="false">
      <c r="A2" s="7" t="s">
        <v>15</v>
      </c>
    </row>
    <row r="4" customFormat="false" ht="19.4" hidden="false" customHeight="false" outlineLevel="0" collapsed="false">
      <c r="A4" s="8" t="s">
        <v>16</v>
      </c>
      <c r="B4" s="9"/>
      <c r="D4" s="10" t="s">
        <v>17</v>
      </c>
      <c r="E4" s="9"/>
    </row>
    <row r="5" customFormat="false" ht="17.15" hidden="false" customHeight="false" outlineLevel="0" collapsed="false">
      <c r="A5" s="11" t="s">
        <v>18</v>
      </c>
      <c r="B5" s="12" t="n">
        <v>3</v>
      </c>
      <c r="D5" s="11" t="s">
        <v>19</v>
      </c>
      <c r="E5" s="13" t="n">
        <f aca="false">収益・原価!B20</f>
        <v>109850</v>
      </c>
    </row>
    <row r="6" customFormat="false" ht="17.15" hidden="false" customHeight="false" outlineLevel="0" collapsed="false">
      <c r="A6" s="14" t="s">
        <v>20</v>
      </c>
      <c r="B6" s="15" t="n">
        <v>7</v>
      </c>
      <c r="D6" s="11" t="s">
        <v>21</v>
      </c>
      <c r="E6" s="16" t="n">
        <f aca="false">収益・原価!B39</f>
        <v>39546</v>
      </c>
    </row>
    <row r="7" customFormat="false" ht="17.15" hidden="false" customHeight="false" outlineLevel="0" collapsed="false">
      <c r="A7" s="11" t="s">
        <v>22</v>
      </c>
      <c r="B7" s="12" t="n">
        <v>30</v>
      </c>
      <c r="D7" s="11" t="s">
        <v>23</v>
      </c>
      <c r="E7" s="17" t="n">
        <f aca="false">収益・原価!B39/収益・原価!B20</f>
        <v>0.36</v>
      </c>
    </row>
    <row r="8" customFormat="false" ht="17.15" hidden="false" customHeight="false" outlineLevel="0" collapsed="false">
      <c r="A8" s="11" t="s">
        <v>24</v>
      </c>
      <c r="B8" s="12" t="n">
        <v>26300</v>
      </c>
    </row>
    <row r="10" customFormat="false" ht="15" hidden="false" customHeight="false" outlineLevel="0" collapsed="false">
      <c r="A10" s="8" t="s">
        <v>25</v>
      </c>
      <c r="B10" s="9"/>
      <c r="D10" s="8" t="s">
        <v>26</v>
      </c>
      <c r="E10" s="9"/>
    </row>
    <row r="11" customFormat="false" ht="15" hidden="false" customHeight="false" outlineLevel="0" collapsed="false">
      <c r="A11" s="11" t="s">
        <v>27</v>
      </c>
      <c r="B11" s="18" t="n">
        <f aca="false">B5*B6*B7</f>
        <v>630</v>
      </c>
      <c r="D11" s="11" t="s">
        <v>28</v>
      </c>
      <c r="E11" s="19" t="n">
        <f aca="false">IF(収益・原価!B39&lt;=0,"貢献≤0",CEILING(固定費!D20/収益・原価!B39,1))</f>
        <v>2150</v>
      </c>
    </row>
    <row r="12" customFormat="false" ht="17.15" hidden="false" customHeight="false" outlineLevel="0" collapsed="false">
      <c r="A12" s="11" t="s">
        <v>29</v>
      </c>
      <c r="B12" s="13" t="n">
        <f aca="false">B11*収益・原価!B20</f>
        <v>69205500</v>
      </c>
      <c r="D12" s="11" t="s">
        <v>30</v>
      </c>
      <c r="E12" s="19" t="n">
        <f aca="false">IF(収益・原価!B39&lt;=0,"—",CEILING(固定費!D20/(収益・原価!B39*B6*B7),1))</f>
        <v>11</v>
      </c>
    </row>
    <row r="13" customFormat="false" ht="17.15" hidden="false" customHeight="false" outlineLevel="0" collapsed="false">
      <c r="A13" s="11" t="s">
        <v>31</v>
      </c>
      <c r="B13" s="16" t="n">
        <f aca="false">B11*収益・原価!B39</f>
        <v>24913980</v>
      </c>
      <c r="D13" s="11" t="s">
        <v>32</v>
      </c>
      <c r="E13" s="19" t="n">
        <f aca="false">IF(収益・原価!B39&lt;=0,"—",CEILING(固定費!D20/(収益・原価!B39*B5*B7),0.1))</f>
        <v>23.9</v>
      </c>
    </row>
    <row r="14" customFormat="false" ht="17.15" hidden="false" customHeight="false" outlineLevel="0" collapsed="false">
      <c r="A14" s="11" t="s">
        <v>33</v>
      </c>
      <c r="B14" s="20" t="n">
        <f aca="false">固定費!D20</f>
        <v>85000000</v>
      </c>
      <c r="D14" s="11" t="s">
        <v>34</v>
      </c>
      <c r="E14" s="21" t="str">
        <f aca="false">IF(B15&gt;=0,"黒字","赤字")</f>
        <v>赤字</v>
      </c>
    </row>
    <row r="15" customFormat="false" ht="17.15" hidden="false" customHeight="false" outlineLevel="0" collapsed="false">
      <c r="A15" s="22" t="s">
        <v>35</v>
      </c>
      <c r="B15" s="23" t="n">
        <f aca="false">B13-固定費!D20</f>
        <v>-60086020</v>
      </c>
      <c r="D15" s="11" t="s">
        <v>36</v>
      </c>
      <c r="E15" s="24" t="n">
        <f aca="false">MAX(0,IF(収益・原価!B39&lt;=0,0,CEILING(固定費!D20/収益・原価!B39,1)-B11))</f>
        <v>1520</v>
      </c>
    </row>
    <row r="16" customFormat="false" ht="17.15" hidden="false" customHeight="false" outlineLevel="0" collapsed="false">
      <c r="A16" s="11" t="s">
        <v>37</v>
      </c>
      <c r="B16" s="25" t="n">
        <f aca="false">B15/B8</f>
        <v>-2284.63954372624</v>
      </c>
    </row>
    <row r="17" customFormat="false" ht="17.15" hidden="false" customHeight="false" outlineLevel="0" collapsed="false">
      <c r="A17" s="11" t="s">
        <v>38</v>
      </c>
      <c r="B17" s="17" t="n">
        <f aca="false">IF(B12=0,0,B15/B12)</f>
        <v>-0.868226080297086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  <col collapsed="false" customWidth="true" hidden="false" outlineLevel="0" max="7" min="6" style="0" width="15"/>
  </cols>
  <sheetData>
    <row r="1" customFormat="false" ht="21.6" hidden="false" customHeight="false" outlineLevel="0" collapsed="false">
      <c r="A1" s="26" t="s">
        <v>39</v>
      </c>
    </row>
    <row r="2" customFormat="false" ht="15" hidden="false" customHeight="false" outlineLevel="0" collapsed="false">
      <c r="A2" s="7" t="s">
        <v>40</v>
      </c>
    </row>
    <row r="4" customFormat="false" ht="19.4" hidden="false" customHeight="false" outlineLevel="0" collapsed="false">
      <c r="A4" s="8" t="s">
        <v>41</v>
      </c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27" t="s">
        <v>42</v>
      </c>
      <c r="B5" s="28" t="s">
        <v>43</v>
      </c>
      <c r="C5" s="28" t="s">
        <v>44</v>
      </c>
      <c r="D5" s="28" t="s">
        <v>45</v>
      </c>
    </row>
    <row r="6" customFormat="false" ht="15" hidden="false" customHeight="false" outlineLevel="0" collapsed="false">
      <c r="A6" s="29" t="s">
        <v>46</v>
      </c>
      <c r="B6" s="30" t="n">
        <v>50000</v>
      </c>
      <c r="C6" s="30" t="n">
        <v>70000</v>
      </c>
      <c r="D6" s="30" t="n">
        <v>100000</v>
      </c>
    </row>
    <row r="7" customFormat="false" ht="15" hidden="false" customHeight="false" outlineLevel="0" collapsed="false">
      <c r="A7" s="29" t="s">
        <v>47</v>
      </c>
      <c r="B7" s="30" t="n">
        <v>70000</v>
      </c>
      <c r="C7" s="30" t="n">
        <v>100000</v>
      </c>
      <c r="D7" s="30" t="n">
        <v>150000</v>
      </c>
    </row>
    <row r="8" customFormat="false" ht="15" hidden="false" customHeight="false" outlineLevel="0" collapsed="false">
      <c r="A8" s="29" t="s">
        <v>48</v>
      </c>
      <c r="B8" s="30" t="n">
        <v>100000</v>
      </c>
      <c r="C8" s="30" t="n">
        <v>150000</v>
      </c>
      <c r="D8" s="30" t="n">
        <v>200000</v>
      </c>
    </row>
    <row r="10" customFormat="false" ht="19.4" hidden="false" customHeight="false" outlineLevel="0" collapsed="false">
      <c r="A10" s="8" t="s">
        <v>49</v>
      </c>
      <c r="B10" s="9"/>
      <c r="C10" s="9"/>
      <c r="D10" s="8" t="s">
        <v>50</v>
      </c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31" t="s">
        <v>51</v>
      </c>
      <c r="B11" s="27" t="s">
        <v>52</v>
      </c>
      <c r="D11" s="31" t="s">
        <v>53</v>
      </c>
      <c r="E11" s="27" t="s">
        <v>52</v>
      </c>
    </row>
    <row r="12" customFormat="false" ht="15" hidden="false" customHeight="false" outlineLevel="0" collapsed="false">
      <c r="A12" s="14" t="s">
        <v>46</v>
      </c>
      <c r="B12" s="32" t="n">
        <v>0.5</v>
      </c>
      <c r="D12" s="14" t="s">
        <v>43</v>
      </c>
      <c r="E12" s="32" t="n">
        <v>0.5</v>
      </c>
    </row>
    <row r="13" customFormat="false" ht="15" hidden="false" customHeight="false" outlineLevel="0" collapsed="false">
      <c r="A13" s="14" t="s">
        <v>47</v>
      </c>
      <c r="B13" s="32" t="n">
        <v>0.35</v>
      </c>
      <c r="D13" s="14" t="s">
        <v>44</v>
      </c>
      <c r="E13" s="32" t="n">
        <v>0.35</v>
      </c>
    </row>
    <row r="14" customFormat="false" ht="15" hidden="false" customHeight="false" outlineLevel="0" collapsed="false">
      <c r="A14" s="14" t="s">
        <v>48</v>
      </c>
      <c r="B14" s="32" t="n">
        <v>0.15</v>
      </c>
      <c r="D14" s="14" t="s">
        <v>45</v>
      </c>
      <c r="E14" s="32" t="n">
        <v>0.15</v>
      </c>
    </row>
    <row r="15" customFormat="false" ht="15" hidden="false" customHeight="false" outlineLevel="0" collapsed="false">
      <c r="A15" s="33" t="s">
        <v>54</v>
      </c>
      <c r="B15" s="34" t="n">
        <f aca="false">SUM(B12:B14)</f>
        <v>1</v>
      </c>
      <c r="D15" s="33" t="s">
        <v>54</v>
      </c>
      <c r="E15" s="34" t="n">
        <f aca="false">SUM(E12:E14)</f>
        <v>1</v>
      </c>
    </row>
    <row r="17" customFormat="false" ht="15" hidden="false" customHeight="false" outlineLevel="0" collapsed="false">
      <c r="A17" s="8" t="s">
        <v>55</v>
      </c>
      <c r="B17" s="9"/>
      <c r="C17" s="9"/>
      <c r="D17" s="9"/>
      <c r="E17" s="9"/>
      <c r="F17" s="9"/>
      <c r="G17" s="9"/>
    </row>
    <row r="18" customFormat="false" ht="17.15" hidden="false" customHeight="false" outlineLevel="0" collapsed="false">
      <c r="A18" s="11" t="s">
        <v>56</v>
      </c>
      <c r="B18" s="16" t="n">
        <f aca="false">B12*(E12*B6+E13*C6+E14*D6)+B13*(E12*B7+E13*C7+E14*D7)+B14*(E12*B8+E13*C8+E14*D8)</f>
        <v>84500</v>
      </c>
    </row>
    <row r="19" customFormat="false" ht="17.15" hidden="false" customHeight="false" outlineLevel="0" collapsed="false">
      <c r="A19" s="11" t="s">
        <v>57</v>
      </c>
      <c r="B19" s="15" t="n">
        <v>1.3</v>
      </c>
    </row>
    <row r="20" customFormat="false" ht="17.15" hidden="false" customHeight="false" outlineLevel="0" collapsed="false">
      <c r="A20" s="11" t="s">
        <v>58</v>
      </c>
      <c r="B20" s="16" t="n">
        <f aca="false">B18*B19</f>
        <v>109850</v>
      </c>
    </row>
    <row r="22" customFormat="false" ht="15" hidden="false" customHeight="false" outlineLevel="0" collapsed="false">
      <c r="A22" s="8" t="s">
        <v>59</v>
      </c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11" t="s">
        <v>60</v>
      </c>
      <c r="B23" s="32" t="n">
        <v>0.4</v>
      </c>
    </row>
    <row r="24" customFormat="false" ht="15" hidden="false" customHeight="false" outlineLevel="0" collapsed="false">
      <c r="A24" s="11" t="s">
        <v>61</v>
      </c>
      <c r="B24" s="32" t="n">
        <v>0.03</v>
      </c>
    </row>
    <row r="25" customFormat="false" ht="15" hidden="false" customHeight="false" outlineLevel="0" collapsed="false">
      <c r="A25" s="11" t="s">
        <v>62</v>
      </c>
      <c r="B25" s="32" t="n">
        <v>0.06</v>
      </c>
    </row>
    <row r="26" customFormat="false" ht="15" hidden="false" customHeight="false" outlineLevel="0" collapsed="false">
      <c r="A26" s="11" t="s">
        <v>63</v>
      </c>
      <c r="B26" s="32" t="n">
        <v>0.05</v>
      </c>
    </row>
    <row r="27" customFormat="false" ht="15" hidden="false" customHeight="false" outlineLevel="0" collapsed="false">
      <c r="A27" s="11" t="s">
        <v>64</v>
      </c>
      <c r="B27" s="34" t="n">
        <f aca="false">SUM(B23:B26)</f>
        <v>0.54</v>
      </c>
    </row>
    <row r="28" customFormat="false" ht="17.15" hidden="false" customHeight="false" outlineLevel="0" collapsed="false">
      <c r="A28" s="11" t="s">
        <v>65</v>
      </c>
      <c r="B28" s="35" t="n">
        <f aca="false">1-B27</f>
        <v>0.46</v>
      </c>
    </row>
    <row r="30" customFormat="false" ht="15" hidden="false" customHeight="false" outlineLevel="0" collapsed="false">
      <c r="A30" s="8" t="s">
        <v>66</v>
      </c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31" t="s">
        <v>67</v>
      </c>
      <c r="B31" s="27" t="s">
        <v>52</v>
      </c>
      <c r="C31" s="27" t="s">
        <v>68</v>
      </c>
      <c r="D31" s="27" t="s">
        <v>69</v>
      </c>
    </row>
    <row r="32" customFormat="false" ht="17.15" hidden="false" customHeight="false" outlineLevel="0" collapsed="false">
      <c r="A32" s="11" t="s">
        <v>70</v>
      </c>
      <c r="B32" s="32" t="n">
        <v>0.45</v>
      </c>
      <c r="C32" s="32" t="n">
        <v>0</v>
      </c>
      <c r="D32" s="17" t="n">
        <f aca="false">B32*C32</f>
        <v>0</v>
      </c>
    </row>
    <row r="33" customFormat="false" ht="17.15" hidden="false" customHeight="false" outlineLevel="0" collapsed="false">
      <c r="A33" s="11" t="s">
        <v>71</v>
      </c>
      <c r="B33" s="32" t="n">
        <v>0.25</v>
      </c>
      <c r="C33" s="32" t="n">
        <v>0.1</v>
      </c>
      <c r="D33" s="17" t="n">
        <f aca="false">B33*C33</f>
        <v>0.025</v>
      </c>
    </row>
    <row r="34" customFormat="false" ht="15" hidden="false" customHeight="false" outlineLevel="0" collapsed="false">
      <c r="A34" s="14" t="s">
        <v>72</v>
      </c>
      <c r="B34" s="32" t="n">
        <v>0.3</v>
      </c>
      <c r="C34" s="32" t="n">
        <v>0.25</v>
      </c>
      <c r="D34" s="17" t="n">
        <f aca="false">B34*C34</f>
        <v>0.075</v>
      </c>
    </row>
    <row r="35" customFormat="false" ht="17.15" hidden="false" customHeight="false" outlineLevel="0" collapsed="false">
      <c r="A35" s="33" t="s">
        <v>73</v>
      </c>
      <c r="B35" s="34" t="n">
        <f aca="false">SUM(B32:B34)</f>
        <v>1</v>
      </c>
      <c r="D35" s="36" t="n">
        <f aca="false">SUM(D32:D34)</f>
        <v>0.1</v>
      </c>
    </row>
    <row r="36" customFormat="false" ht="19.4" hidden="false" customHeight="false" outlineLevel="0" collapsed="false">
      <c r="A36" s="10" t="s">
        <v>74</v>
      </c>
      <c r="B36" s="9"/>
      <c r="C36" s="9"/>
      <c r="D36" s="9"/>
      <c r="E36" s="9"/>
      <c r="F36" s="9"/>
      <c r="G36" s="9"/>
    </row>
    <row r="37" customFormat="false" ht="17.15" hidden="false" customHeight="false" outlineLevel="0" collapsed="false">
      <c r="A37" s="11" t="s">
        <v>75</v>
      </c>
      <c r="B37" s="16" t="n">
        <f aca="false">B20*B28</f>
        <v>50531</v>
      </c>
    </row>
    <row r="38" customFormat="false" ht="17.15" hidden="false" customHeight="false" outlineLevel="0" collapsed="false">
      <c r="A38" s="11" t="s">
        <v>76</v>
      </c>
      <c r="B38" s="20" t="n">
        <f aca="false">B20*D35</f>
        <v>10985</v>
      </c>
    </row>
    <row r="39" customFormat="false" ht="17.15" hidden="false" customHeight="false" outlineLevel="0" collapsed="false">
      <c r="A39" s="33" t="s">
        <v>77</v>
      </c>
      <c r="B39" s="16" t="n">
        <f aca="false">B37-B38</f>
        <v>39546</v>
      </c>
    </row>
    <row r="40" customFormat="false" ht="17.15" hidden="false" customHeight="false" outlineLevel="0" collapsed="false">
      <c r="A40" s="11" t="s">
        <v>78</v>
      </c>
      <c r="B40" s="17" t="n">
        <f aca="false">B39/B20</f>
        <v>0.36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21.6" hidden="false" customHeight="false" outlineLevel="0" collapsed="false">
      <c r="A1" s="26" t="s">
        <v>79</v>
      </c>
    </row>
    <row r="2" customFormat="false" ht="15" hidden="false" customHeight="false" outlineLevel="0" collapsed="false">
      <c r="A2" s="7" t="s">
        <v>80</v>
      </c>
    </row>
    <row r="4" customFormat="false" ht="15" hidden="false" customHeight="false" outlineLevel="0" collapsed="false">
      <c r="A4" s="8" t="s">
        <v>81</v>
      </c>
      <c r="B4" s="9"/>
      <c r="C4" s="9"/>
      <c r="D4" s="9"/>
      <c r="E4" s="9"/>
    </row>
    <row r="5" customFormat="false" ht="17.15" hidden="false" customHeight="false" outlineLevel="0" collapsed="false">
      <c r="A5" s="31" t="s">
        <v>82</v>
      </c>
      <c r="B5" s="27" t="s">
        <v>83</v>
      </c>
      <c r="C5" s="27" t="s">
        <v>84</v>
      </c>
      <c r="D5" s="27" t="s">
        <v>85</v>
      </c>
      <c r="E5" s="31" t="s">
        <v>86</v>
      </c>
    </row>
    <row r="6" customFormat="false" ht="17.15" hidden="false" customHeight="false" outlineLevel="0" collapsed="false">
      <c r="A6" s="11" t="s">
        <v>87</v>
      </c>
      <c r="B6" s="12" t="n">
        <v>2</v>
      </c>
      <c r="C6" s="12" t="n">
        <v>12000000</v>
      </c>
      <c r="D6" s="13" t="n">
        <f aca="false">B6*C6</f>
        <v>24000000</v>
      </c>
      <c r="E6" s="37" t="s">
        <v>88</v>
      </c>
    </row>
    <row r="7" customFormat="false" ht="15" hidden="false" customHeight="false" outlineLevel="0" collapsed="false">
      <c r="A7" s="11" t="s">
        <v>89</v>
      </c>
      <c r="B7" s="12" t="n">
        <v>1</v>
      </c>
      <c r="C7" s="12" t="n">
        <v>18000000</v>
      </c>
      <c r="D7" s="13" t="n">
        <f aca="false">B7*C7</f>
        <v>18000000</v>
      </c>
      <c r="E7" s="37" t="s">
        <v>90</v>
      </c>
    </row>
    <row r="8" customFormat="false" ht="17.15" hidden="false" customHeight="false" outlineLevel="0" collapsed="false">
      <c r="A8" s="11" t="s">
        <v>91</v>
      </c>
      <c r="B8" s="12" t="n">
        <v>1</v>
      </c>
      <c r="C8" s="12" t="n">
        <v>13000000</v>
      </c>
      <c r="D8" s="13" t="n">
        <f aca="false">B8*C8</f>
        <v>13000000</v>
      </c>
      <c r="E8" s="37" t="s">
        <v>92</v>
      </c>
    </row>
    <row r="9" customFormat="false" ht="17.15" hidden="false" customHeight="false" outlineLevel="0" collapsed="false">
      <c r="A9" s="11" t="s">
        <v>93</v>
      </c>
      <c r="B9" s="12" t="n">
        <v>1</v>
      </c>
      <c r="C9" s="12" t="n">
        <v>20000000</v>
      </c>
      <c r="D9" s="13" t="n">
        <f aca="false">B9*C9</f>
        <v>20000000</v>
      </c>
      <c r="E9" s="37" t="s">
        <v>94</v>
      </c>
    </row>
    <row r="10" customFormat="false" ht="17.15" hidden="false" customHeight="false" outlineLevel="0" collapsed="false">
      <c r="A10" s="33" t="s">
        <v>95</v>
      </c>
      <c r="D10" s="38" t="n">
        <f aca="false">SUM(D6:D9)</f>
        <v>75000000</v>
      </c>
    </row>
    <row r="12" customFormat="false" ht="15" hidden="false" customHeight="false" outlineLevel="0" collapsed="false">
      <c r="A12" s="8" t="s">
        <v>96</v>
      </c>
      <c r="B12" s="9"/>
      <c r="C12" s="9"/>
      <c r="D12" s="9"/>
      <c r="E12" s="9"/>
    </row>
    <row r="13" customFormat="false" ht="17.15" hidden="false" customHeight="false" outlineLevel="0" collapsed="false">
      <c r="A13" s="31" t="s">
        <v>97</v>
      </c>
      <c r="D13" s="27" t="s">
        <v>98</v>
      </c>
      <c r="E13" s="31" t="s">
        <v>86</v>
      </c>
    </row>
    <row r="14" customFormat="false" ht="17.15" hidden="false" customHeight="false" outlineLevel="0" collapsed="false">
      <c r="A14" s="11" t="s">
        <v>99</v>
      </c>
      <c r="D14" s="39" t="n">
        <v>3000000</v>
      </c>
      <c r="E14" s="37" t="s">
        <v>100</v>
      </c>
    </row>
    <row r="15" customFormat="false" ht="17.15" hidden="false" customHeight="false" outlineLevel="0" collapsed="false">
      <c r="A15" s="14" t="s">
        <v>101</v>
      </c>
      <c r="D15" s="39" t="n">
        <v>2000000</v>
      </c>
      <c r="E15" s="37" t="s">
        <v>102</v>
      </c>
    </row>
    <row r="16" customFormat="false" ht="17.15" hidden="false" customHeight="false" outlineLevel="0" collapsed="false">
      <c r="A16" s="11" t="s">
        <v>103</v>
      </c>
      <c r="D16" s="39" t="n">
        <v>3000000</v>
      </c>
      <c r="E16" s="37" t="s">
        <v>104</v>
      </c>
    </row>
    <row r="17" customFormat="false" ht="17.15" hidden="false" customHeight="false" outlineLevel="0" collapsed="false">
      <c r="A17" s="11" t="s">
        <v>105</v>
      </c>
      <c r="D17" s="39" t="n">
        <v>2000000</v>
      </c>
      <c r="E17" s="37" t="s">
        <v>106</v>
      </c>
    </row>
    <row r="18" customFormat="false" ht="17.15" hidden="false" customHeight="false" outlineLevel="0" collapsed="false">
      <c r="A18" s="33" t="s">
        <v>107</v>
      </c>
      <c r="D18" s="38" t="n">
        <f aca="false">SUM(D14:D17)</f>
        <v>10000000</v>
      </c>
    </row>
    <row r="20" customFormat="false" ht="19.4" hidden="false" customHeight="false" outlineLevel="0" collapsed="false">
      <c r="A20" s="22" t="s">
        <v>108</v>
      </c>
      <c r="D20" s="40" t="n">
        <f aca="false">D10+D18</f>
        <v>85000000</v>
      </c>
    </row>
    <row r="22" customFormat="false" ht="15" hidden="false" customHeight="false" outlineLevel="0" collapsed="false">
      <c r="A22" s="8" t="s">
        <v>109</v>
      </c>
      <c r="B22" s="9"/>
      <c r="C22" s="9"/>
      <c r="D22" s="9"/>
      <c r="E22" s="9"/>
    </row>
    <row r="23" customFormat="false" ht="15" hidden="false" customHeight="false" outlineLevel="0" collapsed="false">
      <c r="A23" s="11" t="s">
        <v>110</v>
      </c>
      <c r="D23" s="39" t="n">
        <v>0</v>
      </c>
      <c r="E23" s="41" t="s">
        <v>111</v>
      </c>
    </row>
    <row r="24" customFormat="false" ht="17.15" hidden="false" customHeight="false" outlineLevel="0" collapsed="false">
      <c r="A24" s="11" t="s">
        <v>112</v>
      </c>
      <c r="D24" s="39" t="n">
        <v>15000000</v>
      </c>
    </row>
    <row r="25" customFormat="false" ht="17.15" hidden="false" customHeight="false" outlineLevel="0" collapsed="false">
      <c r="A25" s="11" t="s">
        <v>113</v>
      </c>
      <c r="D25" s="39" t="n">
        <v>0</v>
      </c>
    </row>
    <row r="26" customFormat="false" ht="15" hidden="false" customHeight="false" outlineLevel="0" collapsed="false">
      <c r="A26" s="33" t="s">
        <v>114</v>
      </c>
      <c r="D26" s="38" t="n">
        <f aca="false">SUM(D23:D25)</f>
        <v>15000000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7" min="5" style="0" width="15"/>
    <col collapsed="false" customWidth="true" hidden="false" outlineLevel="0" max="8" min="8" style="0" width="16"/>
    <col collapsed="false" customWidth="true" hidden="false" outlineLevel="0" max="10" min="9" style="0" width="6"/>
    <col collapsed="false" customWidth="true" hidden="true" outlineLevel="0" max="13" min="12" style="0" width="13"/>
  </cols>
  <sheetData>
    <row r="1" customFormat="false" ht="21.6" hidden="false" customHeight="false" outlineLevel="0" collapsed="false">
      <c r="A1" s="42" t="s">
        <v>115</v>
      </c>
    </row>
    <row r="2" customFormat="false" ht="15" hidden="false" customHeight="false" outlineLevel="0" collapsed="false">
      <c r="A2" s="7" t="s">
        <v>116</v>
      </c>
    </row>
    <row r="4" customFormat="false" ht="32.8" hidden="false" customHeight="false" outlineLevel="0" collapsed="false">
      <c r="A4" s="43" t="s">
        <v>117</v>
      </c>
      <c r="B4" s="43" t="s">
        <v>118</v>
      </c>
      <c r="C4" s="43" t="s">
        <v>119</v>
      </c>
      <c r="D4" s="43" t="s">
        <v>120</v>
      </c>
      <c r="E4" s="43" t="s">
        <v>29</v>
      </c>
      <c r="F4" s="43" t="s">
        <v>31</v>
      </c>
      <c r="G4" s="43" t="s">
        <v>121</v>
      </c>
      <c r="H4" s="43" t="s">
        <v>35</v>
      </c>
      <c r="I4" s="43" t="s">
        <v>122</v>
      </c>
      <c r="L4" s="27" t="s">
        <v>123</v>
      </c>
      <c r="M4" s="27" t="s">
        <v>124</v>
      </c>
    </row>
    <row r="5" customFormat="false" ht="15" hidden="false" customHeight="false" outlineLevel="0" collapsed="false">
      <c r="A5" s="44" t="n">
        <v>1</v>
      </c>
      <c r="B5" s="12" t="n">
        <v>3</v>
      </c>
      <c r="C5" s="15" t="n">
        <v>4</v>
      </c>
      <c r="D5" s="30" t="n">
        <f aca="false">B5*C5*ダッシュボード!B7</f>
        <v>360</v>
      </c>
      <c r="E5" s="30" t="n">
        <f aca="false">D5*収益・原価!B20</f>
        <v>39546000</v>
      </c>
      <c r="F5" s="30" t="n">
        <f aca="false">D5*収益・原価!B39</f>
        <v>14236560</v>
      </c>
      <c r="G5" s="30" t="n">
        <f aca="false">固定費!D20</f>
        <v>85000000</v>
      </c>
      <c r="H5" s="18" t="n">
        <f aca="false">F5-G5</f>
        <v>-70763440</v>
      </c>
      <c r="I5" s="18" t="n">
        <f aca="false">H5-固定費!D26</f>
        <v>-85763440</v>
      </c>
      <c r="L5" s="45" t="n">
        <f aca="false">IF(H5&gt;=0,A5,9999)</f>
        <v>9999</v>
      </c>
      <c r="M5" s="45" t="n">
        <f aca="false">IF(I5&gt;=0,A5,9999)</f>
        <v>9999</v>
      </c>
    </row>
    <row r="6" customFormat="false" ht="15" hidden="false" customHeight="false" outlineLevel="0" collapsed="false">
      <c r="A6" s="44" t="n">
        <v>2</v>
      </c>
      <c r="B6" s="12" t="n">
        <v>3</v>
      </c>
      <c r="C6" s="15" t="n">
        <v>4.5</v>
      </c>
      <c r="D6" s="30" t="n">
        <f aca="false">B6*C6*ダッシュボード!B7</f>
        <v>405</v>
      </c>
      <c r="E6" s="30" t="n">
        <f aca="false">D6*収益・原価!B20</f>
        <v>44489250</v>
      </c>
      <c r="F6" s="30" t="n">
        <f aca="false">D6*収益・原価!B39</f>
        <v>16016130</v>
      </c>
      <c r="G6" s="30" t="n">
        <f aca="false">固定費!D20</f>
        <v>85000000</v>
      </c>
      <c r="H6" s="18" t="n">
        <f aca="false">F6-G6</f>
        <v>-68983870</v>
      </c>
      <c r="I6" s="18" t="n">
        <f aca="false">I5+H6</f>
        <v>-154747310</v>
      </c>
      <c r="L6" s="45" t="n">
        <f aca="false">IF(H6&gt;=0,A6,9999)</f>
        <v>9999</v>
      </c>
      <c r="M6" s="45" t="n">
        <f aca="false">IF(I6&gt;=0,A6,9999)</f>
        <v>9999</v>
      </c>
    </row>
    <row r="7" customFormat="false" ht="15" hidden="false" customHeight="false" outlineLevel="0" collapsed="false">
      <c r="A7" s="44" t="n">
        <v>3</v>
      </c>
      <c r="B7" s="12" t="n">
        <v>3</v>
      </c>
      <c r="C7" s="15" t="n">
        <v>5</v>
      </c>
      <c r="D7" s="30" t="n">
        <f aca="false">B7*C7*ダッシュボード!B7</f>
        <v>450</v>
      </c>
      <c r="E7" s="30" t="n">
        <f aca="false">D7*収益・原価!B20</f>
        <v>49432500</v>
      </c>
      <c r="F7" s="30" t="n">
        <f aca="false">D7*収益・原価!B39</f>
        <v>17795700</v>
      </c>
      <c r="G7" s="30" t="n">
        <f aca="false">固定費!D20</f>
        <v>85000000</v>
      </c>
      <c r="H7" s="18" t="n">
        <f aca="false">F7-G7</f>
        <v>-67204300</v>
      </c>
      <c r="I7" s="18" t="n">
        <f aca="false">I6+H7</f>
        <v>-221951610</v>
      </c>
      <c r="L7" s="45" t="n">
        <f aca="false">IF(H7&gt;=0,A7,9999)</f>
        <v>9999</v>
      </c>
      <c r="M7" s="45" t="n">
        <f aca="false">IF(I7&gt;=0,A7,9999)</f>
        <v>9999</v>
      </c>
    </row>
    <row r="8" customFormat="false" ht="15" hidden="false" customHeight="false" outlineLevel="0" collapsed="false">
      <c r="A8" s="44" t="n">
        <v>4</v>
      </c>
      <c r="B8" s="12" t="n">
        <v>5</v>
      </c>
      <c r="C8" s="15" t="n">
        <v>5.5</v>
      </c>
      <c r="D8" s="30" t="n">
        <f aca="false">B8*C8*ダッシュボード!B7</f>
        <v>825</v>
      </c>
      <c r="E8" s="30" t="n">
        <f aca="false">D8*収益・原価!B20</f>
        <v>90626250</v>
      </c>
      <c r="F8" s="30" t="n">
        <f aca="false">D8*収益・原価!B39</f>
        <v>32625450</v>
      </c>
      <c r="G8" s="30" t="n">
        <f aca="false">固定費!D20</f>
        <v>85000000</v>
      </c>
      <c r="H8" s="18" t="n">
        <f aca="false">F8-G8</f>
        <v>-52374550</v>
      </c>
      <c r="I8" s="18" t="n">
        <f aca="false">I7+H8</f>
        <v>-274326160</v>
      </c>
      <c r="L8" s="45" t="n">
        <f aca="false">IF(H8&gt;=0,A8,9999)</f>
        <v>9999</v>
      </c>
      <c r="M8" s="45" t="n">
        <f aca="false">IF(I8&gt;=0,A8,9999)</f>
        <v>9999</v>
      </c>
    </row>
    <row r="9" customFormat="false" ht="15" hidden="false" customHeight="false" outlineLevel="0" collapsed="false">
      <c r="A9" s="44" t="n">
        <v>5</v>
      </c>
      <c r="B9" s="12" t="n">
        <v>5</v>
      </c>
      <c r="C9" s="15" t="n">
        <v>6</v>
      </c>
      <c r="D9" s="30" t="n">
        <f aca="false">B9*C9*ダッシュボード!B7</f>
        <v>900</v>
      </c>
      <c r="E9" s="30" t="n">
        <f aca="false">D9*収益・原価!B20</f>
        <v>98865000</v>
      </c>
      <c r="F9" s="30" t="n">
        <f aca="false">D9*収益・原価!B39</f>
        <v>35591400</v>
      </c>
      <c r="G9" s="30" t="n">
        <f aca="false">固定費!D20</f>
        <v>85000000</v>
      </c>
      <c r="H9" s="18" t="n">
        <f aca="false">F9-G9</f>
        <v>-49408600</v>
      </c>
      <c r="I9" s="18" t="n">
        <f aca="false">I8+H9</f>
        <v>-323734760</v>
      </c>
      <c r="L9" s="45" t="n">
        <f aca="false">IF(H9&gt;=0,A9,9999)</f>
        <v>9999</v>
      </c>
      <c r="M9" s="45" t="n">
        <f aca="false">IF(I9&gt;=0,A9,9999)</f>
        <v>9999</v>
      </c>
    </row>
    <row r="10" customFormat="false" ht="15" hidden="false" customHeight="false" outlineLevel="0" collapsed="false">
      <c r="A10" s="44" t="n">
        <v>6</v>
      </c>
      <c r="B10" s="12" t="n">
        <v>5</v>
      </c>
      <c r="C10" s="15" t="n">
        <v>6.5</v>
      </c>
      <c r="D10" s="30" t="n">
        <f aca="false">B10*C10*ダッシュボード!B7</f>
        <v>975</v>
      </c>
      <c r="E10" s="30" t="n">
        <f aca="false">D10*収益・原価!B20</f>
        <v>107103750</v>
      </c>
      <c r="F10" s="30" t="n">
        <f aca="false">D10*収益・原価!B39</f>
        <v>38557350</v>
      </c>
      <c r="G10" s="30" t="n">
        <f aca="false">固定費!D20</f>
        <v>85000000</v>
      </c>
      <c r="H10" s="18" t="n">
        <f aca="false">F10-G10</f>
        <v>-46442650</v>
      </c>
      <c r="I10" s="18" t="n">
        <f aca="false">I9+H10</f>
        <v>-370177410</v>
      </c>
      <c r="L10" s="45" t="n">
        <f aca="false">IF(H10&gt;=0,A10,9999)</f>
        <v>9999</v>
      </c>
      <c r="M10" s="45" t="n">
        <f aca="false">IF(I10&gt;=0,A10,9999)</f>
        <v>9999</v>
      </c>
    </row>
    <row r="11" customFormat="false" ht="15" hidden="false" customHeight="false" outlineLevel="0" collapsed="false">
      <c r="A11" s="44" t="n">
        <v>7</v>
      </c>
      <c r="B11" s="12" t="n">
        <v>8</v>
      </c>
      <c r="C11" s="15" t="n">
        <v>7</v>
      </c>
      <c r="D11" s="30" t="n">
        <f aca="false">B11*C11*ダッシュボード!B7</f>
        <v>1680</v>
      </c>
      <c r="E11" s="30" t="n">
        <f aca="false">D11*収益・原価!B20</f>
        <v>184548000</v>
      </c>
      <c r="F11" s="30" t="n">
        <f aca="false">D11*収益・原価!B39</f>
        <v>66437280</v>
      </c>
      <c r="G11" s="30" t="n">
        <f aca="false">固定費!D20</f>
        <v>85000000</v>
      </c>
      <c r="H11" s="18" t="n">
        <f aca="false">F11-G11</f>
        <v>-18562720</v>
      </c>
      <c r="I11" s="18" t="n">
        <f aca="false">I10+H11</f>
        <v>-388740130</v>
      </c>
      <c r="L11" s="45" t="n">
        <f aca="false">IF(H11&gt;=0,A11,9999)</f>
        <v>9999</v>
      </c>
      <c r="M11" s="45" t="n">
        <f aca="false">IF(I11&gt;=0,A11,9999)</f>
        <v>9999</v>
      </c>
    </row>
    <row r="12" customFormat="false" ht="15" hidden="false" customHeight="false" outlineLevel="0" collapsed="false">
      <c r="A12" s="44" t="n">
        <v>8</v>
      </c>
      <c r="B12" s="12" t="n">
        <v>8</v>
      </c>
      <c r="C12" s="15" t="n">
        <v>7.5</v>
      </c>
      <c r="D12" s="30" t="n">
        <f aca="false">B12*C12*ダッシュボード!B7</f>
        <v>1800</v>
      </c>
      <c r="E12" s="30" t="n">
        <f aca="false">D12*収益・原価!B20</f>
        <v>197730000</v>
      </c>
      <c r="F12" s="30" t="n">
        <f aca="false">D12*収益・原価!B39</f>
        <v>71182800</v>
      </c>
      <c r="G12" s="30" t="n">
        <f aca="false">固定費!D20</f>
        <v>85000000</v>
      </c>
      <c r="H12" s="18" t="n">
        <f aca="false">F12-G12</f>
        <v>-13817200</v>
      </c>
      <c r="I12" s="18" t="n">
        <f aca="false">I11+H12</f>
        <v>-402557330</v>
      </c>
      <c r="L12" s="45" t="n">
        <f aca="false">IF(H12&gt;=0,A12,9999)</f>
        <v>9999</v>
      </c>
      <c r="M12" s="45" t="n">
        <f aca="false">IF(I12&gt;=0,A12,9999)</f>
        <v>9999</v>
      </c>
    </row>
    <row r="13" customFormat="false" ht="15" hidden="false" customHeight="false" outlineLevel="0" collapsed="false">
      <c r="A13" s="44" t="n">
        <v>9</v>
      </c>
      <c r="B13" s="12" t="n">
        <v>8</v>
      </c>
      <c r="C13" s="15" t="n">
        <v>8</v>
      </c>
      <c r="D13" s="30" t="n">
        <f aca="false">B13*C13*ダッシュボード!B7</f>
        <v>1920</v>
      </c>
      <c r="E13" s="30" t="n">
        <f aca="false">D13*収益・原価!B20</f>
        <v>210912000</v>
      </c>
      <c r="F13" s="30" t="n">
        <f aca="false">D13*収益・原価!B39</f>
        <v>75928320</v>
      </c>
      <c r="G13" s="30" t="n">
        <f aca="false">固定費!D20</f>
        <v>85000000</v>
      </c>
      <c r="H13" s="18" t="n">
        <f aca="false">F13-G13</f>
        <v>-9071680.00000002</v>
      </c>
      <c r="I13" s="18" t="n">
        <f aca="false">I12+H13</f>
        <v>-411629010</v>
      </c>
      <c r="L13" s="45" t="n">
        <f aca="false">IF(H13&gt;=0,A13,9999)</f>
        <v>9999</v>
      </c>
      <c r="M13" s="45" t="n">
        <f aca="false">IF(I13&gt;=0,A13,9999)</f>
        <v>9999</v>
      </c>
    </row>
    <row r="14" customFormat="false" ht="15" hidden="false" customHeight="false" outlineLevel="0" collapsed="false">
      <c r="A14" s="44" t="n">
        <v>10</v>
      </c>
      <c r="B14" s="12" t="n">
        <v>8</v>
      </c>
      <c r="C14" s="15" t="n">
        <v>8.5</v>
      </c>
      <c r="D14" s="30" t="n">
        <f aca="false">B14*C14*ダッシュボード!B7</f>
        <v>2040</v>
      </c>
      <c r="E14" s="30" t="n">
        <f aca="false">D14*収益・原価!B20</f>
        <v>224094000</v>
      </c>
      <c r="F14" s="30" t="n">
        <f aca="false">D14*収益・原価!B39</f>
        <v>80673840</v>
      </c>
      <c r="G14" s="30" t="n">
        <f aca="false">固定費!D20</f>
        <v>85000000</v>
      </c>
      <c r="H14" s="18" t="n">
        <f aca="false">F14-G14</f>
        <v>-4326160.00000002</v>
      </c>
      <c r="I14" s="18" t="n">
        <f aca="false">I13+H14</f>
        <v>-415955170</v>
      </c>
      <c r="L14" s="45" t="n">
        <f aca="false">IF(H14&gt;=0,A14,9999)</f>
        <v>9999</v>
      </c>
      <c r="M14" s="45" t="n">
        <f aca="false">IF(I14&gt;=0,A14,9999)</f>
        <v>9999</v>
      </c>
    </row>
    <row r="15" customFormat="false" ht="15" hidden="false" customHeight="false" outlineLevel="0" collapsed="false">
      <c r="A15" s="44" t="n">
        <v>11</v>
      </c>
      <c r="B15" s="12" t="n">
        <v>8</v>
      </c>
      <c r="C15" s="15" t="n">
        <v>9</v>
      </c>
      <c r="D15" s="30" t="n">
        <f aca="false">B15*C15*ダッシュボード!B7</f>
        <v>2160</v>
      </c>
      <c r="E15" s="30" t="n">
        <f aca="false">D15*収益・原価!B20</f>
        <v>237276000</v>
      </c>
      <c r="F15" s="30" t="n">
        <f aca="false">D15*収益・原価!B39</f>
        <v>85419360</v>
      </c>
      <c r="G15" s="30" t="n">
        <f aca="false">固定費!D20</f>
        <v>85000000</v>
      </c>
      <c r="H15" s="18" t="n">
        <f aca="false">F15-G15</f>
        <v>419359.999999985</v>
      </c>
      <c r="I15" s="18" t="n">
        <f aca="false">I14+H15</f>
        <v>-415535810</v>
      </c>
      <c r="L15" s="45" t="n">
        <f aca="false">IF(H15&gt;=0,A15,9999)</f>
        <v>11</v>
      </c>
      <c r="M15" s="45" t="n">
        <f aca="false">IF(I15&gt;=0,A15,9999)</f>
        <v>9999</v>
      </c>
    </row>
    <row r="16" customFormat="false" ht="15" hidden="false" customHeight="false" outlineLevel="0" collapsed="false">
      <c r="A16" s="44" t="n">
        <v>12</v>
      </c>
      <c r="B16" s="12" t="n">
        <v>8</v>
      </c>
      <c r="C16" s="15" t="n">
        <v>9.5</v>
      </c>
      <c r="D16" s="30" t="n">
        <f aca="false">B16*C16*ダッシュボード!B7</f>
        <v>2280</v>
      </c>
      <c r="E16" s="30" t="n">
        <f aca="false">D16*収益・原価!B20</f>
        <v>250458000</v>
      </c>
      <c r="F16" s="30" t="n">
        <f aca="false">D16*収益・原価!B39</f>
        <v>90164880</v>
      </c>
      <c r="G16" s="30" t="n">
        <f aca="false">固定費!D20</f>
        <v>85000000</v>
      </c>
      <c r="H16" s="18" t="n">
        <f aca="false">F16-G16</f>
        <v>5164879.99999999</v>
      </c>
      <c r="I16" s="18" t="n">
        <f aca="false">I15+H16</f>
        <v>-410370930</v>
      </c>
      <c r="L16" s="45" t="n">
        <f aca="false">IF(H16&gt;=0,A16,9999)</f>
        <v>12</v>
      </c>
      <c r="M16" s="45" t="n">
        <f aca="false">IF(I16&gt;=0,A16,9999)</f>
        <v>9999</v>
      </c>
    </row>
    <row r="17" customFormat="false" ht="15" hidden="false" customHeight="false" outlineLevel="0" collapsed="false">
      <c r="A17" s="44" t="n">
        <v>13</v>
      </c>
      <c r="B17" s="12" t="n">
        <v>12</v>
      </c>
      <c r="C17" s="15" t="n">
        <v>10</v>
      </c>
      <c r="D17" s="30" t="n">
        <f aca="false">B17*C17*ダッシュボード!B7</f>
        <v>3600</v>
      </c>
      <c r="E17" s="30" t="n">
        <f aca="false">D17*収益・原価!B20</f>
        <v>395460000</v>
      </c>
      <c r="F17" s="30" t="n">
        <f aca="false">D17*収益・原価!B39</f>
        <v>142365600</v>
      </c>
      <c r="G17" s="30" t="n">
        <f aca="false">固定費!D20</f>
        <v>85000000</v>
      </c>
      <c r="H17" s="18" t="n">
        <f aca="false">F17-G17</f>
        <v>57365600</v>
      </c>
      <c r="I17" s="18" t="n">
        <f aca="false">I16+H17</f>
        <v>-353005330</v>
      </c>
      <c r="L17" s="45" t="n">
        <f aca="false">IF(H17&gt;=0,A17,9999)</f>
        <v>13</v>
      </c>
      <c r="M17" s="45" t="n">
        <f aca="false">IF(I17&gt;=0,A17,9999)</f>
        <v>9999</v>
      </c>
    </row>
    <row r="18" customFormat="false" ht="15" hidden="false" customHeight="false" outlineLevel="0" collapsed="false">
      <c r="A18" s="44" t="n">
        <v>14</v>
      </c>
      <c r="B18" s="12" t="n">
        <v>12</v>
      </c>
      <c r="C18" s="15" t="n">
        <v>10</v>
      </c>
      <c r="D18" s="30" t="n">
        <f aca="false">B18*C18*ダッシュボード!B7</f>
        <v>3600</v>
      </c>
      <c r="E18" s="30" t="n">
        <f aca="false">D18*収益・原価!B20</f>
        <v>395460000</v>
      </c>
      <c r="F18" s="30" t="n">
        <f aca="false">D18*収益・原価!B39</f>
        <v>142365600</v>
      </c>
      <c r="G18" s="30" t="n">
        <f aca="false">固定費!D20</f>
        <v>85000000</v>
      </c>
      <c r="H18" s="18" t="n">
        <f aca="false">F18-G18</f>
        <v>57365600</v>
      </c>
      <c r="I18" s="18" t="n">
        <f aca="false">I17+H18</f>
        <v>-295639730</v>
      </c>
      <c r="L18" s="45" t="n">
        <f aca="false">IF(H18&gt;=0,A18,9999)</f>
        <v>14</v>
      </c>
      <c r="M18" s="45" t="n">
        <f aca="false">IF(I18&gt;=0,A18,9999)</f>
        <v>9999</v>
      </c>
    </row>
    <row r="19" customFormat="false" ht="15" hidden="false" customHeight="false" outlineLevel="0" collapsed="false">
      <c r="A19" s="44" t="n">
        <v>15</v>
      </c>
      <c r="B19" s="12" t="n">
        <v>12</v>
      </c>
      <c r="C19" s="15" t="n">
        <v>10</v>
      </c>
      <c r="D19" s="30" t="n">
        <f aca="false">B19*C19*ダッシュボード!B7</f>
        <v>3600</v>
      </c>
      <c r="E19" s="30" t="n">
        <f aca="false">D19*収益・原価!B20</f>
        <v>395460000</v>
      </c>
      <c r="F19" s="30" t="n">
        <f aca="false">D19*収益・原価!B39</f>
        <v>142365600</v>
      </c>
      <c r="G19" s="30" t="n">
        <f aca="false">固定費!D20</f>
        <v>85000000</v>
      </c>
      <c r="H19" s="18" t="n">
        <f aca="false">F19-G19</f>
        <v>57365600</v>
      </c>
      <c r="I19" s="18" t="n">
        <f aca="false">I18+H19</f>
        <v>-238274130</v>
      </c>
      <c r="L19" s="45" t="n">
        <f aca="false">IF(H19&gt;=0,A19,9999)</f>
        <v>15</v>
      </c>
      <c r="M19" s="45" t="n">
        <f aca="false">IF(I19&gt;=0,A19,9999)</f>
        <v>9999</v>
      </c>
    </row>
    <row r="20" customFormat="false" ht="15" hidden="false" customHeight="false" outlineLevel="0" collapsed="false">
      <c r="A20" s="44" t="n">
        <v>16</v>
      </c>
      <c r="B20" s="12" t="n">
        <v>12</v>
      </c>
      <c r="C20" s="15" t="n">
        <v>10</v>
      </c>
      <c r="D20" s="30" t="n">
        <f aca="false">B20*C20*ダッシュボード!B7</f>
        <v>3600</v>
      </c>
      <c r="E20" s="30" t="n">
        <f aca="false">D20*収益・原価!B20</f>
        <v>395460000</v>
      </c>
      <c r="F20" s="30" t="n">
        <f aca="false">D20*収益・原価!B39</f>
        <v>142365600</v>
      </c>
      <c r="G20" s="30" t="n">
        <f aca="false">固定費!D20</f>
        <v>85000000</v>
      </c>
      <c r="H20" s="18" t="n">
        <f aca="false">F20-G20</f>
        <v>57365600</v>
      </c>
      <c r="I20" s="18" t="n">
        <f aca="false">I19+H20</f>
        <v>-180908530</v>
      </c>
      <c r="L20" s="45" t="n">
        <f aca="false">IF(H20&gt;=0,A20,9999)</f>
        <v>16</v>
      </c>
      <c r="M20" s="45" t="n">
        <f aca="false">IF(I20&gt;=0,A20,9999)</f>
        <v>9999</v>
      </c>
    </row>
    <row r="21" customFormat="false" ht="15" hidden="false" customHeight="false" outlineLevel="0" collapsed="false">
      <c r="A21" s="44" t="n">
        <v>17</v>
      </c>
      <c r="B21" s="12" t="n">
        <v>12</v>
      </c>
      <c r="C21" s="15" t="n">
        <v>10</v>
      </c>
      <c r="D21" s="30" t="n">
        <f aca="false">B21*C21*ダッシュボード!B7</f>
        <v>3600</v>
      </c>
      <c r="E21" s="30" t="n">
        <f aca="false">D21*収益・原価!B20</f>
        <v>395460000</v>
      </c>
      <c r="F21" s="30" t="n">
        <f aca="false">D21*収益・原価!B39</f>
        <v>142365600</v>
      </c>
      <c r="G21" s="30" t="n">
        <f aca="false">固定費!D20</f>
        <v>85000000</v>
      </c>
      <c r="H21" s="18" t="n">
        <f aca="false">F21-G21</f>
        <v>57365600</v>
      </c>
      <c r="I21" s="18" t="n">
        <f aca="false">I20+H21</f>
        <v>-123542930</v>
      </c>
      <c r="L21" s="45" t="n">
        <f aca="false">IF(H21&gt;=0,A21,9999)</f>
        <v>17</v>
      </c>
      <c r="M21" s="45" t="n">
        <f aca="false">IF(I21&gt;=0,A21,9999)</f>
        <v>9999</v>
      </c>
    </row>
    <row r="22" customFormat="false" ht="15" hidden="false" customHeight="false" outlineLevel="0" collapsed="false">
      <c r="A22" s="44" t="n">
        <v>18</v>
      </c>
      <c r="B22" s="12" t="n">
        <v>12</v>
      </c>
      <c r="C22" s="15" t="n">
        <v>10</v>
      </c>
      <c r="D22" s="30" t="n">
        <f aca="false">B22*C22*ダッシュボード!B7</f>
        <v>3600</v>
      </c>
      <c r="E22" s="30" t="n">
        <f aca="false">D22*収益・原価!B20</f>
        <v>395460000</v>
      </c>
      <c r="F22" s="30" t="n">
        <f aca="false">D22*収益・原価!B39</f>
        <v>142365600</v>
      </c>
      <c r="G22" s="30" t="n">
        <f aca="false">固定費!D20</f>
        <v>85000000</v>
      </c>
      <c r="H22" s="18" t="n">
        <f aca="false">F22-G22</f>
        <v>57365600</v>
      </c>
      <c r="I22" s="18" t="n">
        <f aca="false">I21+H22</f>
        <v>-66177330.0000001</v>
      </c>
      <c r="L22" s="45" t="n">
        <f aca="false">IF(H22&gt;=0,A22,9999)</f>
        <v>18</v>
      </c>
      <c r="M22" s="45" t="n">
        <f aca="false">IF(I22&gt;=0,A22,9999)</f>
        <v>9999</v>
      </c>
    </row>
    <row r="23" customFormat="false" ht="15" hidden="false" customHeight="false" outlineLevel="0" collapsed="false">
      <c r="A23" s="44" t="n">
        <v>19</v>
      </c>
      <c r="B23" s="12" t="n">
        <v>20</v>
      </c>
      <c r="C23" s="15" t="n">
        <v>10</v>
      </c>
      <c r="D23" s="30" t="n">
        <f aca="false">B23*C23*ダッシュボード!B7</f>
        <v>6000</v>
      </c>
      <c r="E23" s="30" t="n">
        <f aca="false">D23*収益・原価!B20</f>
        <v>659100000</v>
      </c>
      <c r="F23" s="30" t="n">
        <f aca="false">D23*収益・原価!B39</f>
        <v>237276000</v>
      </c>
      <c r="G23" s="30" t="n">
        <f aca="false">固定費!D20</f>
        <v>85000000</v>
      </c>
      <c r="H23" s="18" t="n">
        <f aca="false">F23-G23</f>
        <v>152276000</v>
      </c>
      <c r="I23" s="18" t="n">
        <f aca="false">I22+H23</f>
        <v>86098669.9999999</v>
      </c>
      <c r="L23" s="45" t="n">
        <f aca="false">IF(H23&gt;=0,A23,9999)</f>
        <v>19</v>
      </c>
      <c r="M23" s="45" t="n">
        <f aca="false">IF(I23&gt;=0,A23,9999)</f>
        <v>19</v>
      </c>
    </row>
    <row r="24" customFormat="false" ht="15" hidden="false" customHeight="false" outlineLevel="0" collapsed="false">
      <c r="A24" s="44" t="n">
        <v>20</v>
      </c>
      <c r="B24" s="12" t="n">
        <v>20</v>
      </c>
      <c r="C24" s="15" t="n">
        <v>10</v>
      </c>
      <c r="D24" s="30" t="n">
        <f aca="false">B24*C24*ダッシュボード!B7</f>
        <v>6000</v>
      </c>
      <c r="E24" s="30" t="n">
        <f aca="false">D24*収益・原価!B20</f>
        <v>659100000</v>
      </c>
      <c r="F24" s="30" t="n">
        <f aca="false">D24*収益・原価!B39</f>
        <v>237276000</v>
      </c>
      <c r="G24" s="30" t="n">
        <f aca="false">固定費!D20</f>
        <v>85000000</v>
      </c>
      <c r="H24" s="18" t="n">
        <f aca="false">F24-G24</f>
        <v>152276000</v>
      </c>
      <c r="I24" s="18" t="n">
        <f aca="false">I23+H24</f>
        <v>238374670</v>
      </c>
      <c r="L24" s="45" t="n">
        <f aca="false">IF(H24&gt;=0,A24,9999)</f>
        <v>20</v>
      </c>
      <c r="M24" s="45" t="n">
        <f aca="false">IF(I24&gt;=0,A24,9999)</f>
        <v>20</v>
      </c>
    </row>
    <row r="25" customFormat="false" ht="15" hidden="false" customHeight="false" outlineLevel="0" collapsed="false">
      <c r="A25" s="44" t="n">
        <v>21</v>
      </c>
      <c r="B25" s="12" t="n">
        <v>20</v>
      </c>
      <c r="C25" s="15" t="n">
        <v>10</v>
      </c>
      <c r="D25" s="30" t="n">
        <f aca="false">B25*C25*ダッシュボード!B7</f>
        <v>6000</v>
      </c>
      <c r="E25" s="30" t="n">
        <f aca="false">D25*収益・原価!B20</f>
        <v>659100000</v>
      </c>
      <c r="F25" s="30" t="n">
        <f aca="false">D25*収益・原価!B39</f>
        <v>237276000</v>
      </c>
      <c r="G25" s="30" t="n">
        <f aca="false">固定費!D20</f>
        <v>85000000</v>
      </c>
      <c r="H25" s="18" t="n">
        <f aca="false">F25-G25</f>
        <v>152276000</v>
      </c>
      <c r="I25" s="18" t="n">
        <f aca="false">I24+H25</f>
        <v>390650670</v>
      </c>
      <c r="L25" s="45" t="n">
        <f aca="false">IF(H25&gt;=0,A25,9999)</f>
        <v>21</v>
      </c>
      <c r="M25" s="45" t="n">
        <f aca="false">IF(I25&gt;=0,A25,9999)</f>
        <v>21</v>
      </c>
    </row>
    <row r="26" customFormat="false" ht="15" hidden="false" customHeight="false" outlineLevel="0" collapsed="false">
      <c r="A26" s="44" t="n">
        <v>22</v>
      </c>
      <c r="B26" s="12" t="n">
        <v>20</v>
      </c>
      <c r="C26" s="15" t="n">
        <v>10</v>
      </c>
      <c r="D26" s="30" t="n">
        <f aca="false">B26*C26*ダッシュボード!B7</f>
        <v>6000</v>
      </c>
      <c r="E26" s="30" t="n">
        <f aca="false">D26*収益・原価!B20</f>
        <v>659100000</v>
      </c>
      <c r="F26" s="30" t="n">
        <f aca="false">D26*収益・原価!B39</f>
        <v>237276000</v>
      </c>
      <c r="G26" s="30" t="n">
        <f aca="false">固定費!D20</f>
        <v>85000000</v>
      </c>
      <c r="H26" s="18" t="n">
        <f aca="false">F26-G26</f>
        <v>152276000</v>
      </c>
      <c r="I26" s="18" t="n">
        <f aca="false">I25+H26</f>
        <v>542926670</v>
      </c>
      <c r="L26" s="45" t="n">
        <f aca="false">IF(H26&gt;=0,A26,9999)</f>
        <v>22</v>
      </c>
      <c r="M26" s="45" t="n">
        <f aca="false">IF(I26&gt;=0,A26,9999)</f>
        <v>22</v>
      </c>
    </row>
    <row r="27" customFormat="false" ht="15" hidden="false" customHeight="false" outlineLevel="0" collapsed="false">
      <c r="A27" s="44" t="n">
        <v>23</v>
      </c>
      <c r="B27" s="12" t="n">
        <v>20</v>
      </c>
      <c r="C27" s="15" t="n">
        <v>10</v>
      </c>
      <c r="D27" s="30" t="n">
        <f aca="false">B27*C27*ダッシュボード!B7</f>
        <v>6000</v>
      </c>
      <c r="E27" s="30" t="n">
        <f aca="false">D27*収益・原価!B20</f>
        <v>659100000</v>
      </c>
      <c r="F27" s="30" t="n">
        <f aca="false">D27*収益・原価!B39</f>
        <v>237276000</v>
      </c>
      <c r="G27" s="30" t="n">
        <f aca="false">固定費!D20</f>
        <v>85000000</v>
      </c>
      <c r="H27" s="18" t="n">
        <f aca="false">F27-G27</f>
        <v>152276000</v>
      </c>
      <c r="I27" s="18" t="n">
        <f aca="false">I26+H27</f>
        <v>695202670</v>
      </c>
      <c r="L27" s="45" t="n">
        <f aca="false">IF(H27&gt;=0,A27,9999)</f>
        <v>23</v>
      </c>
      <c r="M27" s="45" t="n">
        <f aca="false">IF(I27&gt;=0,A27,9999)</f>
        <v>23</v>
      </c>
    </row>
    <row r="28" customFormat="false" ht="15" hidden="false" customHeight="false" outlineLevel="0" collapsed="false">
      <c r="A28" s="44" t="n">
        <v>24</v>
      </c>
      <c r="B28" s="12" t="n">
        <v>20</v>
      </c>
      <c r="C28" s="15" t="n">
        <v>10</v>
      </c>
      <c r="D28" s="30" t="n">
        <f aca="false">B28*C28*ダッシュボード!B7</f>
        <v>6000</v>
      </c>
      <c r="E28" s="30" t="n">
        <f aca="false">D28*収益・原価!B20</f>
        <v>659100000</v>
      </c>
      <c r="F28" s="30" t="n">
        <f aca="false">D28*収益・原価!B39</f>
        <v>237276000</v>
      </c>
      <c r="G28" s="30" t="n">
        <f aca="false">固定費!D20</f>
        <v>85000000</v>
      </c>
      <c r="H28" s="18" t="n">
        <f aca="false">F28-G28</f>
        <v>152276000</v>
      </c>
      <c r="I28" s="18" t="n">
        <f aca="false">I27+H28</f>
        <v>847478670</v>
      </c>
      <c r="L28" s="45" t="n">
        <f aca="false">IF(H28&gt;=0,A28,9999)</f>
        <v>24</v>
      </c>
      <c r="M28" s="45" t="n">
        <f aca="false">IF(I28&gt;=0,A28,9999)</f>
        <v>24</v>
      </c>
    </row>
    <row r="30" customFormat="false" ht="15" hidden="false" customHeight="false" outlineLevel="0" collapsed="false">
      <c r="A30" s="8" t="s">
        <v>125</v>
      </c>
      <c r="B30" s="9"/>
      <c r="C30" s="9"/>
      <c r="D30" s="9"/>
    </row>
    <row r="31" customFormat="false" ht="17.15" hidden="false" customHeight="false" outlineLevel="0" collapsed="false">
      <c r="A31" s="11" t="s">
        <v>126</v>
      </c>
      <c r="C31" s="19" t="n">
        <f aca="false">IF(MIN(L5:L28)=9999,"未達",MIN(L5:L28))</f>
        <v>11</v>
      </c>
    </row>
    <row r="32" customFormat="false" ht="15" hidden="false" customHeight="false" outlineLevel="0" collapsed="false">
      <c r="A32" s="11" t="s">
        <v>127</v>
      </c>
      <c r="C32" s="19" t="n">
        <f aca="false">IF(MIN(M5:M28)=9999,"未達",MIN(M5:M28))</f>
        <v>19</v>
      </c>
    </row>
    <row r="33" customFormat="false" ht="15" hidden="false" customHeight="false" outlineLevel="0" collapsed="false">
      <c r="A33" s="11" t="s">
        <v>128</v>
      </c>
      <c r="C33" s="46" t="n">
        <f aca="false">MAX(0,-MIN(I5:I28))</f>
        <v>415955170</v>
      </c>
    </row>
    <row r="34" customFormat="false" ht="17.15" hidden="false" customHeight="false" outlineLevel="0" collapsed="false">
      <c r="A34" s="14" t="s">
        <v>129</v>
      </c>
      <c r="C34" s="18" t="n">
        <f aca="false">I28</f>
        <v>847478670</v>
      </c>
    </row>
    <row r="35" customFormat="false" ht="17.15" hidden="false" customHeight="false" outlineLevel="0" collapsed="false">
      <c r="A35" s="14" t="s">
        <v>130</v>
      </c>
      <c r="C35" s="30" t="n">
        <f aca="false">B28</f>
        <v>20</v>
      </c>
      <c r="D35" s="47" t="n">
        <f aca="false">H28</f>
        <v>152276000</v>
      </c>
    </row>
    <row r="36" customFormat="false" ht="15" hidden="false" customHeight="false" outlineLevel="0" collapsed="false">
      <c r="A36" s="7" t="s">
        <v>131</v>
      </c>
    </row>
  </sheetData>
  <conditionalFormatting sqref="H5:H2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I5:I28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26" t="s">
        <v>132</v>
      </c>
    </row>
    <row r="2" customFormat="false" ht="15" hidden="false" customHeight="false" outlineLevel="0" collapsed="false">
      <c r="A2" s="7" t="s">
        <v>133</v>
      </c>
    </row>
    <row r="4" customFormat="false" ht="19.4" hidden="false" customHeight="false" outlineLevel="0" collapsed="false">
      <c r="A4" s="8" t="s">
        <v>134</v>
      </c>
      <c r="B4" s="9"/>
      <c r="C4" s="9"/>
      <c r="D4" s="9"/>
      <c r="E4" s="9"/>
      <c r="F4" s="9"/>
      <c r="G4" s="9"/>
    </row>
    <row r="5" customFormat="false" ht="17.15" hidden="false" customHeight="false" outlineLevel="0" collapsed="false">
      <c r="A5" s="27" t="s">
        <v>135</v>
      </c>
      <c r="B5" s="48" t="n">
        <v>3</v>
      </c>
      <c r="C5" s="48" t="n">
        <v>5</v>
      </c>
      <c r="D5" s="48" t="n">
        <v>8</v>
      </c>
      <c r="E5" s="48" t="n">
        <v>10</v>
      </c>
      <c r="F5" s="48" t="n">
        <v>15</v>
      </c>
      <c r="G5" s="48" t="n">
        <v>20</v>
      </c>
    </row>
    <row r="6" customFormat="false" ht="15" hidden="false" customHeight="false" outlineLevel="0" collapsed="false">
      <c r="A6" s="48" t="n">
        <v>4</v>
      </c>
      <c r="B6" s="30" t="n">
        <f aca="false">3*4*ダッシュボード!B7*収益・原価!B39-固定費!D20</f>
        <v>-70763440</v>
      </c>
      <c r="C6" s="30" t="n">
        <f aca="false">5*4*ダッシュボード!B7*収益・原価!B39-固定費!D20</f>
        <v>-61272400</v>
      </c>
      <c r="D6" s="30" t="n">
        <f aca="false">8*4*ダッシュボード!B7*収益・原価!B39-固定費!D20</f>
        <v>-47035840</v>
      </c>
      <c r="E6" s="30" t="n">
        <f aca="false">10*4*ダッシュボード!B7*収益・原価!B39-固定費!D20</f>
        <v>-37544800</v>
      </c>
      <c r="F6" s="30" t="n">
        <f aca="false">15*4*ダッシュボード!B7*収益・原価!B39-固定費!D20</f>
        <v>-13817200</v>
      </c>
      <c r="G6" s="30" t="n">
        <f aca="false">20*4*ダッシュボード!B7*収益・原価!B39-固定費!D20</f>
        <v>9910399.99999999</v>
      </c>
    </row>
    <row r="7" customFormat="false" ht="15" hidden="false" customHeight="false" outlineLevel="0" collapsed="false">
      <c r="A7" s="48" t="n">
        <v>5</v>
      </c>
      <c r="B7" s="30" t="n">
        <f aca="false">3*5*ダッシュボード!B7*収益・原価!B39-固定費!D20</f>
        <v>-67204300</v>
      </c>
      <c r="C7" s="30" t="n">
        <f aca="false">5*5*ダッシュボード!B7*収益・原価!B39-固定費!D20</f>
        <v>-55340500</v>
      </c>
      <c r="D7" s="30" t="n">
        <f aca="false">8*5*ダッシュボード!B7*収益・原価!B39-固定費!D20</f>
        <v>-37544800</v>
      </c>
      <c r="E7" s="30" t="n">
        <f aca="false">10*5*ダッシュボード!B7*収益・原価!B39-固定費!D20</f>
        <v>-25681000</v>
      </c>
      <c r="F7" s="30" t="n">
        <f aca="false">15*5*ダッシュボード!B7*収益・原価!B39-固定費!D20</f>
        <v>3978499.99999999</v>
      </c>
      <c r="G7" s="30" t="n">
        <f aca="false">20*5*ダッシュボード!B7*収益・原価!B39-固定費!D20</f>
        <v>33638000</v>
      </c>
    </row>
    <row r="8" customFormat="false" ht="15" hidden="false" customHeight="false" outlineLevel="0" collapsed="false">
      <c r="A8" s="48" t="n">
        <v>6</v>
      </c>
      <c r="B8" s="30" t="n">
        <f aca="false">3*6*ダッシュボード!B7*収益・原価!B39-固定費!D20</f>
        <v>-63645160</v>
      </c>
      <c r="C8" s="30" t="n">
        <f aca="false">5*6*ダッシュボード!B7*収益・原価!B39-固定費!D20</f>
        <v>-49408600</v>
      </c>
      <c r="D8" s="30" t="n">
        <f aca="false">8*6*ダッシュボード!B7*収益・原価!B39-固定費!D20</f>
        <v>-28053760</v>
      </c>
      <c r="E8" s="30" t="n">
        <f aca="false">10*6*ダッシュボード!B7*収益・原価!B39-固定費!D20</f>
        <v>-13817200</v>
      </c>
      <c r="F8" s="30" t="n">
        <f aca="false">15*6*ダッシュボード!B7*収益・原価!B39-固定費!D20</f>
        <v>21774200</v>
      </c>
      <c r="G8" s="30" t="n">
        <f aca="false">20*6*ダッシュボード!B7*収益・原価!B39-固定費!D20</f>
        <v>57365600</v>
      </c>
    </row>
    <row r="9" customFormat="false" ht="15" hidden="false" customHeight="false" outlineLevel="0" collapsed="false">
      <c r="A9" s="48" t="n">
        <v>7</v>
      </c>
      <c r="B9" s="30" t="n">
        <f aca="false">3*7*ダッシュボード!B7*収益・原価!B39-固定費!D20</f>
        <v>-60086020</v>
      </c>
      <c r="C9" s="30" t="n">
        <f aca="false">5*7*ダッシュボード!B7*収益・原価!B39-固定費!D20</f>
        <v>-43476700</v>
      </c>
      <c r="D9" s="30" t="n">
        <f aca="false">8*7*ダッシュボード!B7*収益・原価!B39-固定費!D20</f>
        <v>-18562720</v>
      </c>
      <c r="E9" s="30" t="n">
        <f aca="false">10*7*ダッシュボード!B7*収益・原価!B39-固定費!D20</f>
        <v>-1953400.00000002</v>
      </c>
      <c r="F9" s="30" t="n">
        <f aca="false">15*7*ダッシュボード!B7*収益・原価!B39-固定費!D20</f>
        <v>39569900</v>
      </c>
      <c r="G9" s="30" t="n">
        <f aca="false">20*7*ダッシュボード!B7*収益・原価!B39-固定費!D20</f>
        <v>81093200</v>
      </c>
    </row>
    <row r="10" customFormat="false" ht="15" hidden="false" customHeight="false" outlineLevel="0" collapsed="false">
      <c r="A10" s="48" t="n">
        <v>8</v>
      </c>
      <c r="B10" s="30" t="n">
        <f aca="false">3*8*ダッシュボード!B7*収益・原価!B39-固定費!D20</f>
        <v>-56526880</v>
      </c>
      <c r="C10" s="30" t="n">
        <f aca="false">5*8*ダッシュボード!B7*収益・原価!B39-固定費!D20</f>
        <v>-37544800</v>
      </c>
      <c r="D10" s="30" t="n">
        <f aca="false">8*8*ダッシュボード!B7*収益・原価!B39-固定費!D20</f>
        <v>-9071680.00000002</v>
      </c>
      <c r="E10" s="30" t="n">
        <f aca="false">10*8*ダッシュボード!B7*収益・原価!B39-固定費!D20</f>
        <v>9910399.99999999</v>
      </c>
      <c r="F10" s="30" t="n">
        <f aca="false">15*8*ダッシュボード!B7*収益・原価!B39-固定費!D20</f>
        <v>57365600</v>
      </c>
      <c r="G10" s="30" t="n">
        <f aca="false">20*8*ダッシュボード!B7*収益・原価!B39-固定費!D20</f>
        <v>104820800</v>
      </c>
    </row>
    <row r="11" customFormat="false" ht="15" hidden="false" customHeight="false" outlineLevel="0" collapsed="false">
      <c r="A11" s="48" t="n">
        <v>9</v>
      </c>
      <c r="B11" s="30" t="n">
        <f aca="false">3*9*ダッシュボード!B7*収益・原価!B39-固定費!D20</f>
        <v>-52967740</v>
      </c>
      <c r="C11" s="30" t="n">
        <f aca="false">5*9*ダッシュボード!B7*収益・原価!B39-固定費!D20</f>
        <v>-31612900</v>
      </c>
      <c r="D11" s="30" t="n">
        <f aca="false">8*9*ダッシュボード!B7*収益・原価!B39-固定費!D20</f>
        <v>419359.999999985</v>
      </c>
      <c r="E11" s="30" t="n">
        <f aca="false">10*9*ダッシュボード!B7*収益・原価!B39-固定費!D20</f>
        <v>21774200</v>
      </c>
      <c r="F11" s="30" t="n">
        <f aca="false">15*9*ダッシュボード!B7*収益・原価!B39-固定費!D20</f>
        <v>75161300</v>
      </c>
      <c r="G11" s="30" t="n">
        <f aca="false">20*9*ダッシュボード!B7*収益・原価!B39-固定費!D20</f>
        <v>128548400</v>
      </c>
    </row>
    <row r="12" customFormat="false" ht="15" hidden="false" customHeight="false" outlineLevel="0" collapsed="false">
      <c r="A12" s="48" t="n">
        <v>10</v>
      </c>
      <c r="B12" s="30" t="n">
        <f aca="false">3*10*ダッシュボード!B7*収益・原価!B39-固定費!D20</f>
        <v>-49408600</v>
      </c>
      <c r="C12" s="30" t="n">
        <f aca="false">5*10*ダッシュボード!B7*収益・原価!B39-固定費!D20</f>
        <v>-25681000</v>
      </c>
      <c r="D12" s="30" t="n">
        <f aca="false">8*10*ダッシュボード!B7*収益・原価!B39-固定費!D20</f>
        <v>9910399.99999999</v>
      </c>
      <c r="E12" s="30" t="n">
        <f aca="false">10*10*ダッシュボード!B7*収益・原価!B39-固定費!D20</f>
        <v>33638000</v>
      </c>
      <c r="F12" s="30" t="n">
        <f aca="false">15*10*ダッシュボード!B7*収益・原価!B39-固定費!D20</f>
        <v>92957000</v>
      </c>
      <c r="G12" s="30" t="n">
        <f aca="false">20*10*ダッシュボード!B7*収益・原価!B39-固定費!D20</f>
        <v>152276000</v>
      </c>
    </row>
    <row r="14" customFormat="false" ht="19.4" hidden="false" customHeight="false" outlineLevel="0" collapsed="false">
      <c r="A14" s="8" t="s">
        <v>136</v>
      </c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27" t="s">
        <v>137</v>
      </c>
      <c r="B15" s="48" t="n">
        <v>50000</v>
      </c>
      <c r="C15" s="48" t="n">
        <v>60000</v>
      </c>
      <c r="D15" s="48" t="n">
        <v>70000</v>
      </c>
      <c r="E15" s="48" t="n">
        <v>80000</v>
      </c>
      <c r="F15" s="48" t="n">
        <v>90000</v>
      </c>
      <c r="G15" s="48" t="n">
        <v>100000</v>
      </c>
    </row>
    <row r="16" customFormat="false" ht="15" hidden="false" customHeight="false" outlineLevel="0" collapsed="false">
      <c r="A16" s="49" t="n">
        <v>0.75</v>
      </c>
      <c r="B16" s="30" t="n">
        <f aca="false">ダッシュボード!B5*ダッシュボード!B6*ダッシュボード!B7*(50000*(収益・原価!B39/収益・原価!B20))-固定費!D20*0.75</f>
        <v>-52410000</v>
      </c>
      <c r="C16" s="30" t="n">
        <f aca="false">ダッシュボード!B5*ダッシュボード!B6*ダッシュボード!B7*(60000*(収益・原価!B39/収益・原価!B20))-固定費!D20*0.75</f>
        <v>-50142000</v>
      </c>
      <c r="D16" s="30" t="n">
        <f aca="false">ダッシュボード!B5*ダッシュボード!B6*ダッシュボード!B7*(70000*(収益・原価!B39/収益・原価!B20))-固定費!D20*0.75</f>
        <v>-47874000</v>
      </c>
      <c r="E16" s="30" t="n">
        <f aca="false">ダッシュボード!B5*ダッシュボード!B6*ダッシュボード!B7*(80000*(収益・原価!B39/収益・原価!B20))-固定費!D20*0.75</f>
        <v>-45606000</v>
      </c>
      <c r="F16" s="30" t="n">
        <f aca="false">ダッシュボード!B5*ダッシュボード!B6*ダッシュボード!B7*(90000*(収益・原価!B39/収益・原価!B20))-固定費!D20*0.75</f>
        <v>-43338000</v>
      </c>
      <c r="G16" s="30" t="n">
        <f aca="false">ダッシュボード!B5*ダッシュボード!B6*ダッシュボード!B7*(100000*(収益・原価!B39/収益・原価!B20))-固定費!D20*0.75</f>
        <v>-41070000</v>
      </c>
    </row>
    <row r="17" customFormat="false" ht="15" hidden="false" customHeight="false" outlineLevel="0" collapsed="false">
      <c r="A17" s="49" t="n">
        <v>1</v>
      </c>
      <c r="B17" s="30" t="n">
        <f aca="false">ダッシュボード!B5*ダッシュボード!B6*ダッシュボード!B7*(50000*(収益・原価!B39/収益・原価!B20))-固定費!D20*1</f>
        <v>-73660000</v>
      </c>
      <c r="C17" s="30" t="n">
        <f aca="false">ダッシュボード!B5*ダッシュボード!B6*ダッシュボード!B7*(60000*(収益・原価!B39/収益・原価!B20))-固定費!D20*1</f>
        <v>-71392000</v>
      </c>
      <c r="D17" s="30" t="n">
        <f aca="false">ダッシュボード!B5*ダッシュボード!B6*ダッシュボード!B7*(70000*(収益・原価!B39/収益・原価!B20))-固定費!D20*1</f>
        <v>-69124000</v>
      </c>
      <c r="E17" s="30" t="n">
        <f aca="false">ダッシュボード!B5*ダッシュボード!B6*ダッシュボード!B7*(80000*(収益・原価!B39/収益・原価!B20))-固定費!D20*1</f>
        <v>-66856000</v>
      </c>
      <c r="F17" s="30" t="n">
        <f aca="false">ダッシュボード!B5*ダッシュボード!B6*ダッシュボード!B7*(90000*(収益・原価!B39/収益・原価!B20))-固定費!D20*1</f>
        <v>-64588000</v>
      </c>
      <c r="G17" s="30" t="n">
        <f aca="false">ダッシュボード!B5*ダッシュボード!B6*ダッシュボード!B7*(100000*(収益・原価!B39/収益・原価!B20))-固定費!D20*1</f>
        <v>-62320000</v>
      </c>
    </row>
    <row r="18" customFormat="false" ht="15" hidden="false" customHeight="false" outlineLevel="0" collapsed="false">
      <c r="A18" s="49" t="n">
        <v>1.25</v>
      </c>
      <c r="B18" s="30" t="n">
        <f aca="false">ダッシュボード!B5*ダッシュボード!B6*ダッシュボード!B7*(50000*(収益・原価!B39/収益・原価!B20))-固定費!D20*1.25</f>
        <v>-94910000</v>
      </c>
      <c r="C18" s="30" t="n">
        <f aca="false">ダッシュボード!B5*ダッシュボード!B6*ダッシュボード!B7*(60000*(収益・原価!B39/収益・原価!B20))-固定費!D20*1.25</f>
        <v>-92642000</v>
      </c>
      <c r="D18" s="30" t="n">
        <f aca="false">ダッシュボード!B5*ダッシュボード!B6*ダッシュボード!B7*(70000*(収益・原価!B39/収益・原価!B20))-固定費!D20*1.25</f>
        <v>-90374000</v>
      </c>
      <c r="E18" s="30" t="n">
        <f aca="false">ダッシュボード!B5*ダッシュボード!B6*ダッシュボード!B7*(80000*(収益・原価!B39/収益・原価!B20))-固定費!D20*1.25</f>
        <v>-88106000</v>
      </c>
      <c r="F18" s="30" t="n">
        <f aca="false">ダッシュボード!B5*ダッシュボード!B6*ダッシュボード!B7*(90000*(収益・原価!B39/収益・原価!B20))-固定費!D20*1.25</f>
        <v>-85838000</v>
      </c>
      <c r="G18" s="30" t="n">
        <f aca="false">ダッシュボード!B5*ダッシュボード!B6*ダッシュボード!B7*(100000*(収益・原価!B39/収益・原価!B20))-固定費!D20*1.25</f>
        <v>-83570000</v>
      </c>
    </row>
    <row r="19" customFormat="false" ht="15" hidden="false" customHeight="false" outlineLevel="0" collapsed="false">
      <c r="A19" s="49" t="n">
        <v>1.5</v>
      </c>
      <c r="B19" s="30" t="n">
        <f aca="false">ダッシュボード!B5*ダッシュボード!B6*ダッシュボード!B7*(50000*(収益・原価!B39/収益・原価!B20))-固定費!D20*1.5</f>
        <v>-116160000</v>
      </c>
      <c r="C19" s="30" t="n">
        <f aca="false">ダッシュボード!B5*ダッシュボード!B6*ダッシュボード!B7*(60000*(収益・原価!B39/収益・原価!B20))-固定費!D20*1.5</f>
        <v>-113892000</v>
      </c>
      <c r="D19" s="30" t="n">
        <f aca="false">ダッシュボード!B5*ダッシュボード!B6*ダッシュボード!B7*(70000*(収益・原価!B39/収益・原価!B20))-固定費!D20*1.5</f>
        <v>-111624000</v>
      </c>
      <c r="E19" s="30" t="n">
        <f aca="false">ダッシュボード!B5*ダッシュボード!B6*ダッシュボード!B7*(80000*(収益・原価!B39/収益・原価!B20))-固定費!D20*1.5</f>
        <v>-109356000</v>
      </c>
      <c r="F19" s="30" t="n">
        <f aca="false">ダッシュボード!B5*ダッシュボード!B6*ダッシュボード!B7*(90000*(収益・原価!B39/収益・原価!B20))-固定費!D20*1.5</f>
        <v>-107088000</v>
      </c>
      <c r="G19" s="30" t="n">
        <f aca="false">ダッシュボード!B5*ダッシュボード!B6*ダッシュボード!B7*(100000*(収益・原価!B39/収益・原価!B20))-固定費!D20*1.5</f>
        <v>-104820000</v>
      </c>
    </row>
  </sheetData>
  <conditionalFormatting sqref="B6:G12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B16:G19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2026-07-29T02:56:43Z</dcterms:created>
  <dc:creator>openpyxl</dc:creator>
  <dc:description/>
  <dc:language>en-US</dc:language>
  <cp:lastModifiedBy/>
  <dcterms:modified xsi:type="dcterms:W3CDTF">2026-07-29T03:00:01Z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